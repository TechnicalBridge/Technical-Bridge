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Requerimientos NF" sheetId="2" r:id="rId5"/>
    <sheet state="visible" name="Requerimientos F" sheetId="3" r:id="rId6"/>
    <sheet state="visible" name="SRS Simplificado" sheetId="4" r:id="rId7"/>
    <sheet state="visible" name="Catálogos" sheetId="5" r:id="rId8"/>
  </sheets>
  <definedNames/>
  <calcPr/>
  <extLst>
    <ext uri="GoogleSheetsCustomDataVersion2">
      <go:sheetsCustomData xmlns:go="http://customooxmlschemas.google.com/" r:id="rId9" roundtripDataChecksum="Atxzoyb14d9s2otV+otaRh4dYyaZmQ1XKCPLcGdSesc="/>
    </ext>
  </extLst>
</workbook>
</file>

<file path=xl/sharedStrings.xml><?xml version="1.0" encoding="utf-8"?>
<sst xmlns="http://schemas.openxmlformats.org/spreadsheetml/2006/main" count="1679" uniqueCount="643">
  <si>
    <t>SRS Simplificado — DataBridge</t>
  </si>
  <si>
    <t>Sección</t>
  </si>
  <si>
    <t>Descripción</t>
  </si>
  <si>
    <t>Implicancia para requisitos</t>
  </si>
  <si>
    <t>Referencia interna</t>
  </si>
  <si>
    <t>1. Problema</t>
  </si>
  <si>
    <t>Los procesos de cobranza pierden eficiencia cuando consulta, negociación, pago, conciliación y actualización entre sistemas dependen de gestiones manuales o canales separados.</t>
  </si>
  <si>
    <t>Los requisitos deben reducir fricción para el deudor, automatizar intercambio de información y mantener trazabilidad sin compartir bases de datos.</t>
  </si>
  <si>
    <t>Pauta Maestra §3.1</t>
  </si>
  <si>
    <t>2. Objetivo general</t>
  </si>
  <si>
    <t>Desarrollar una plataforma modular, segura e interoperable que automatice y simplifique consulta, repactación, pago y actualización de deudas entre los actores involucrados.</t>
  </si>
  <si>
    <t>Los RF describen comportamientos del producto; los RNF establecen condiciones de seguridad, interoperabilidad, calidad, resiliencia y mantenibilidad.</t>
  </si>
  <si>
    <t>Pauta Maestra §3.2</t>
  </si>
  <si>
    <t>3. Alcance funcional</t>
  </si>
  <si>
    <t>Portal de autoservicio, autenticación por RUT/código, consulta de deuda, repactación, pagos, actualización y eventos, carga de cartera, dashboard, certificado, IA de solo lectura e integración APOFYX.</t>
  </si>
  <si>
    <t>Los RF-01 a RF-50 detallan el alcance funcional y técnico derivado de estos flujos.</t>
  </si>
  <si>
    <t>Pauta Maestra §7.1</t>
  </si>
  <si>
    <t>4. Límites</t>
  </si>
  <si>
    <t>Sin acceso directo a bases externas; DataBridge no reemplaza el CRM/lógica operacional de APOFYX; la IA no autoriza pagos ni modifica deuda; no se inventan métricas ni estados de implementación.</t>
  </si>
  <si>
    <t>Todo requisito debe respetar estos límites y marcar como pendiente aquello que no tenga evidencia.</t>
  </si>
  <si>
    <t>Pauta Maestra §7.2 / §19</t>
  </si>
  <si>
    <t>5. Arquitectura</t>
  </si>
  <si>
    <t>Portal React/nginx, Spring Cloud Gateway, ms-auth, ms-debt, ms-payments, ms-ai, MySQL y RabbitMQ, con APOFYX como sistema externo.</t>
  </si>
  <si>
    <t>Las columnas Módulo/Componente y Dependencias permiten ubicar cada requisito dentro de esta arquitectura.</t>
  </si>
  <si>
    <t>Pauta Maestra §8</t>
  </si>
  <si>
    <t>6. Integración</t>
  </si>
  <si>
    <t>Desacoplamiento, identidad externa, idempotencia, autonomía, configurabilidad, outbox/reintentos, versionado, contrato reutilizable y seguridad de eventos.</t>
  </si>
  <si>
    <t>Los RNF y RF de integración deben demostrar estos principios mediante pruebas y evidencia reproducible.</t>
  </si>
  <si>
    <t>Pauta Maestra §9</t>
  </si>
  <si>
    <t>7. Definition of Done</t>
  </si>
  <si>
    <t>Un trabajo terminado requiere requisito/HU, criterios cumplidos, código integrado, pruebas aplicables, migraciones/configuración, documentación, evidencia y actualización del tablero.</t>
  </si>
  <si>
    <t>El estado 'Aprobado' de esta planilla no equivale a Done; la trazabilidad debe completarse antes de declarar implementación terminada.</t>
  </si>
  <si>
    <t>Pauta Maestra §13</t>
  </si>
  <si>
    <t>ID</t>
  </si>
  <si>
    <t>Nombre del requerimiento</t>
  </si>
  <si>
    <t>Tipo</t>
  </si>
  <si>
    <t>Clasificación</t>
  </si>
  <si>
    <t>Módulo / componente</t>
  </si>
  <si>
    <t>Objetivo relacionado</t>
  </si>
  <si>
    <t>Caso de uso / alcance</t>
  </si>
  <si>
    <t>Actores Technical Bridge</t>
  </si>
  <si>
    <t>Descripción / explicación detallada</t>
  </si>
  <si>
    <t>Importancia</t>
  </si>
  <si>
    <t>Criterios de aceptación</t>
  </si>
  <si>
    <t>Dependencias / relaciones</t>
  </si>
  <si>
    <t>Evidencia esperada</t>
  </si>
  <si>
    <t>Estado</t>
  </si>
  <si>
    <t>Observaciones / validación</t>
  </si>
  <si>
    <t>RF-01</t>
  </si>
  <si>
    <t>Autenticación mediante RUT y código</t>
  </si>
  <si>
    <t>Funcional</t>
  </si>
  <si>
    <t>Funcional de usuario</t>
  </si>
  <si>
    <t>Portal / ms-auth</t>
  </si>
  <si>
    <t>RNF-01</t>
  </si>
  <si>
    <t>OE-01</t>
  </si>
  <si>
    <t>CU-01</t>
  </si>
  <si>
    <t>Flavio Henríquez, Pedro Campos</t>
  </si>
  <si>
    <t>Permitir que el deudor se autentique utilizando su RUT y un código de acceso válido, sin contraseña tradicional. Este requisito se enmarca en el área «Autenticación y sesión» y debe mantenerse coherente con Portal / ms-auth, sin romper el desacoplamiento, la trazabilidad ni los controles definidos por DataBridge.</t>
  </si>
  <si>
    <t>Código de acceso de un solo uso</t>
  </si>
  <si>
    <t>Alto</t>
  </si>
  <si>
    <t>1) Con RUT y código válidos se inicia una sesión; códigos inválidos, expirados o reutilizados son rechazados.
2) Debe contemplarse al menos un caso negativo o de borde aplicable al requisito.
3) El cumplimiento debe quedar respaldado por evidencia reproducible antes de considerarse terminado.</t>
  </si>
  <si>
    <t>RF-02, RF-03, RF-04</t>
  </si>
  <si>
    <t>No Funcional</t>
  </si>
  <si>
    <t>Prueba válida/negativa de autenticación + log controlado + evidencia de sesión/token.</t>
  </si>
  <si>
    <t>Seguridad</t>
  </si>
  <si>
    <t>Aprobado</t>
  </si>
  <si>
    <t>Seguridad / Servicios backend</t>
  </si>
  <si>
    <t>Requisito definido y aceptado documentalmente. No implica por sí solo que esté implementado o probado.</t>
  </si>
  <si>
    <t>RF-02</t>
  </si>
  <si>
    <t>Generación de código de acceso</t>
  </si>
  <si>
    <t>Transversal</t>
  </si>
  <si>
    <t>Funcional de sistema</t>
  </si>
  <si>
    <t>Los códigos de acceso deben ser utilizables una sola vez. Este requisito se enmarca en el área «Seguridad, privacidad e idempotencia» y debe mantenerse coherente con Seguridad / Servicios backend, sin romper el desacoplamiento, la trazabilidad ni los controles definidos por DataBridge.</t>
  </si>
  <si>
    <t>Martín Gutiérrez, Flavio Henríquez, Pedro Campos</t>
  </si>
  <si>
    <t>Generar códigos de acceso asociados al RUT del deudor para habilitar el ingreso seguro al portal. Este requisito se enmarca en el área «Autenticación y sesión» y debe mantenerse coherente con Portal / ms-auth, sin romper el desacoplamiento, la trazabilidad ni los controles definidos por DataBridge.</t>
  </si>
  <si>
    <t>1) El código queda asociado al RUT, posee expiración y puede utilizarse una sola vez.
2) Debe contemplarse al menos un caso negativo o de borde aplicable al requisito.
3) El cumplimiento debe quedar respaldado por evidencia reproducible antes de considerarse terminado.</t>
  </si>
  <si>
    <t>RF-03</t>
  </si>
  <si>
    <t>1) Una vez consumido un código válido, un segundo intento con el mismo código es rechazado.
2) La verificación debe registrar condición de prueba, resultado esperado y resultado obtenido.
3) El cumplimiento debe quedar respaldado por evidencia reproducible antes de considerarse terminado.</t>
  </si>
  <si>
    <t>Validación de código de acceso</t>
  </si>
  <si>
    <t>RF-01 a RF-24 según flujo protegido.</t>
  </si>
  <si>
    <t>Technical Bridge — DataBridge | Matriz de Requerimientos Mejorada</t>
  </si>
  <si>
    <t>Base documental: La planilla separa requisito, estado documental, evidencia y trazabilidad; no presume implementación ni resultados no respaldados.</t>
  </si>
  <si>
    <t>Validar vigencia, correspondencia, uso previo y cantidad de intentos del código de acceso. Este requisito se enmarca en el área «Autenticación y sesión» y debe mantenerse coherente con Portal / ms-auth, sin romper el desacoplamiento, la trazabilidad ni los controles definidos por DataBridge.</t>
  </si>
  <si>
    <t>Catálogo</t>
  </si>
  <si>
    <t>RNF-02</t>
  </si>
  <si>
    <t>1) El sistema rechaza códigos vencidos, usados, incorrectos o asociados a otro RUT.
2) Debe contemplarse al menos un caso negativo o de borde aplicable al requisito.
3) El cumplimiento debe quedar respaldado por evidencia reproducible antes de considerarse terminado.</t>
  </si>
  <si>
    <t>Valor</t>
  </si>
  <si>
    <t>Expiración de códigos de acceso</t>
  </si>
  <si>
    <t>Definición / uso</t>
  </si>
  <si>
    <t>Responsable o referencia</t>
  </si>
  <si>
    <t>Indicador</t>
  </si>
  <si>
    <t>Cantidad</t>
  </si>
  <si>
    <t>Total requisitos</t>
  </si>
  <si>
    <t>RF-04</t>
  </si>
  <si>
    <t>Requisito crítico para el flujo principal, seguridad, integridad, interoperabilidad o trazabilidad.</t>
  </si>
  <si>
    <t>Creación de sesión autenticada</t>
  </si>
  <si>
    <t>Equipo Technical Bridge</t>
  </si>
  <si>
    <t>Medio</t>
  </si>
  <si>
    <t>Requisito relevante para completar experiencia, gestión o mantenibilidad, sin ser necesariamente bloqueante del flujo crítico.</t>
  </si>
  <si>
    <t>Bajo</t>
  </si>
  <si>
    <t>Los códigos de acceso deben expirar después del período configurado. Este requisito se enmarca en el área «Seguridad, privacidad e idempotencia» y debe mantenerse coherente con Seguridad / Servicios backend, sin romper el desacoplamiento, la trazabilidad ni los controles definidos por DataBridge.</t>
  </si>
  <si>
    <t>Crear una sesión segura después de una autenticación exitosa y emitir los tokens correspondientes. Este requisito se enmarca en el área «Autenticación y sesión» y debe mantenerse coherente con Portal / ms-auth, sin romper el desacoplamiento, la trazabilidad ni los controles definidos por DataBridge.</t>
  </si>
  <si>
    <t>Requisito complementario o de menor impacto inmediato, sujeto a priorización del backlog.</t>
  </si>
  <si>
    <t>1) Una autenticación válida genera una sesión utilizable por los servicios autorizados.
2) Debe contemplarse al menos un caso negativo o de borde aplicable al requisito.
3) El cumplimiento debe quedar respaldado por evidencia reproducible antes de considerarse terminado.</t>
  </si>
  <si>
    <t>Definido y aceptado documentalmente. No significa automáticamente implementado ni verificado.</t>
  </si>
  <si>
    <t>1) Un código fuera de su vigencia es rechazado de forma reproducible.
2) La verificación debe registrar condición de prueba, resultado esperado y resultado obtenido.
3) El cumplimiento debe quedar respaldado por evidencia reproducible antes de considerarse terminado.</t>
  </si>
  <si>
    <t>Product Owner + equipo</t>
  </si>
  <si>
    <t>Asignado</t>
  </si>
  <si>
    <t>Definido para ejecución o seguimiento por el equipo; requiere completar prueba/evidencia.</t>
  </si>
  <si>
    <t>RF-05</t>
  </si>
  <si>
    <t>Funcionales</t>
  </si>
  <si>
    <t>Scrum Master + desarrolladores</t>
  </si>
  <si>
    <t>Cierre de sesión</t>
  </si>
  <si>
    <t>Propuesto</t>
  </si>
  <si>
    <t>Sugerido a partir del alcance/arquitectura; debe validarse antes de convertirse en compromiso definitivo.</t>
  </si>
  <si>
    <t>Diferido</t>
  </si>
  <si>
    <t>Postergado de forma explícita para una iteración posterior, manteniendo justificación y trazabilidad.</t>
  </si>
  <si>
    <t>RNF-03</t>
  </si>
  <si>
    <t>No funcionales</t>
  </si>
  <si>
    <t>Rol</t>
  </si>
  <si>
    <t>Límite de intentos de autenticación</t>
  </si>
  <si>
    <t>Martín Gutiérrez</t>
  </si>
  <si>
    <t>Permitir finalizar la sesión del deudor e invalidar los mecanismos de acceso asociados. Este requisito se enmarca en el área «Autenticación y sesión» y debe mantenerse coherente con Portal / ms-auth, sin romper el desacoplamiento, la trazabilidad ni los controles definidos por DataBridge.</t>
  </si>
  <si>
    <t>Product Owner: prioriza necesidades, orienta valor y mantiene coherencia con el caso de negocio.</t>
  </si>
  <si>
    <t>Technical Bridge</t>
  </si>
  <si>
    <t>1) Después del cierre de sesión, el token revocado no permite acceder a recursos protegidos.
2) Debe contemplarse al menos un caso negativo o de borde aplicable al requisito.
3) El cumplimiento debe quedar respaldado por evidencia reproducible antes de considerarse terminado.</t>
  </si>
  <si>
    <t>Esteban Maino</t>
  </si>
  <si>
    <t>Scrum Master: facilita Scrumban, coordinación, seguimiento, retrospectivas y resolución de impedimentos.</t>
  </si>
  <si>
    <t>Importancia alta</t>
  </si>
  <si>
    <t>Requisito definido para trabajo/seguimiento. Validar implementación, pruebas y evidencia antes de cerrar.</t>
  </si>
  <si>
    <t>Flavio Henríquez</t>
  </si>
  <si>
    <t>RF-06</t>
  </si>
  <si>
    <t>La autenticación debe limitar intentos fallidos para reducir abuso automatizado. Este requisito se enmarca en el área «Seguridad, privacidad e idempotencia» y debe mantenerse coherente con Seguridad / Servicios backend, sin romper el desacoplamiento, la trazabilidad ni los controles definidos por DataBridge.</t>
  </si>
  <si>
    <t>Desarrollador: implementación, integración, pruebas y documentación técnica.</t>
  </si>
  <si>
    <t>Consulta de obligaciones</t>
  </si>
  <si>
    <t>Pedro Campos</t>
  </si>
  <si>
    <t>1) Al superar el límite configurado, nuevos intentos son bloqueados o controlados según la política definida.
2) La verificación debe registrar condición de prueba, resultado esperado y resultado obtenido.
3) El cumplimiento debe quedar respaldado por evidencia reproducible antes de considerarse terminado.</t>
  </si>
  <si>
    <t>Aprobados</t>
  </si>
  <si>
    <t>Portal / ms-debt</t>
  </si>
  <si>
    <t>OE-02</t>
  </si>
  <si>
    <t>Objetivo específico</t>
  </si>
  <si>
    <t>CU-02</t>
  </si>
  <si>
    <t>Asignados</t>
  </si>
  <si>
    <t>Implementar autenticación del deudor mediante RUT y código de acceso sin contraseña tradicional.</t>
  </si>
  <si>
    <t>Pauta Maestra §3.3</t>
  </si>
  <si>
    <t>Mostrar al deudor autenticado únicamente las obligaciones asociadas a su identidad. Este requisito se enmarca en el área «Consulta de obligaciones» y debe mantenerse coherente con Portal / ms-debt, sin romper el desacoplamiento, la trazabilidad ni los controles definidos por DataBridge.</t>
  </si>
  <si>
    <t>Propuestos</t>
  </si>
  <si>
    <t>1) La consulta devuelve solo deudas asociadas al RUT autenticado y bloquea acceso cruzado.
2) Debe contemplarse al menos un caso negativo o de borde aplicable al requisito.
3) El cumplimiento debe quedar respaldado por evidencia reproducible antes de considerarse terminado.</t>
  </si>
  <si>
    <t>Permitir consultar deudas, cargos, acreedor, referencias y estado de las obligaciones.</t>
  </si>
  <si>
    <t>RF-01, RNF-06</t>
  </si>
  <si>
    <t>Respuesta de API + captura del portal o documento generado + verificación de persistencia/estado.</t>
  </si>
  <si>
    <t>RNF-04</t>
  </si>
  <si>
    <t>Guía de uso</t>
  </si>
  <si>
    <t>OE-03</t>
  </si>
  <si>
    <t>Tokens de sesión de corta duración</t>
  </si>
  <si>
    <t>Permitir simular y aceptar alternativas de repactación según las reglas del producto.</t>
  </si>
  <si>
    <t>RF-07</t>
  </si>
  <si>
    <t>Detalle de deuda</t>
  </si>
  <si>
    <t>Campo</t>
  </si>
  <si>
    <t>Uso</t>
  </si>
  <si>
    <t>OE-04</t>
  </si>
  <si>
    <t>Indica madurez/gestión documental; no debe confundirse con implementación comprobada.</t>
  </si>
  <si>
    <t>Gestionar pagos verificando el monto desde los servicios internos y actualizando el saldo.</t>
  </si>
  <si>
    <t>Alto: crítico para seguridad, integración o flujo principal. Medio: relevante pero no bloqueante. Bajo: complementario.</t>
  </si>
  <si>
    <t>Define qué prueba, log, captura, reporte o registro debe guardarse para respaldar el requisito.</t>
  </si>
  <si>
    <t>Mostrar el detalle de una obligación, incluyendo acreedor, concepto, cargos, moneda, referencias y saldo. Este requisito se enmarca en el área «Consulta de obligaciones» y debe mantenerse coherente con Portal / ms-debt, sin romper el desacoplamiento, la trazabilidad ni los controles definidos por DataBridge.</t>
  </si>
  <si>
    <t>Observaciones</t>
  </si>
  <si>
    <t>Se utiliza para dejar pendientes de validación, restricciones o decisiones del equipo.</t>
  </si>
  <si>
    <t>OE-05</t>
  </si>
  <si>
    <t>1) El detalle presenta los campos disponibles de la deuda seleccionada y coincide con la información persistida.
2) Debe contemplarse al menos un caso negativo o de borde aplicable al requisito.
3) El cumplimiento debe quedar respaldado por evidencia reproducible antes de considerarse terminado.</t>
  </si>
  <si>
    <t>Actualizar el estado de la deuda y comunicar eventos relevantes a organizaciones integradas.</t>
  </si>
  <si>
    <t>Las sesiones deben utilizar tokens con duración limitada. Este requisito se enmarca en el área «Seguridad, privacidad e idempotencia» y debe mantenerse coherente con Seguridad / Servicios backend, sin romper el desacoplamiento, la trazabilidad ni los controles definidos por DataBridge.</t>
  </si>
  <si>
    <t>OE-06</t>
  </si>
  <si>
    <t>1) El token deja de autorizar solicitudes una vez alcanzada su expiración configurada.
2) La verificación debe registrar condición de prueba, resultado esperado y resultado obtenido.
3) El cumplimiento debe quedar respaldado por evidencia reproducible antes de considerarse terminado.</t>
  </si>
  <si>
    <t>RF-08</t>
  </si>
  <si>
    <t>Recibir y procesar carteras mediante API o archivo bajo contratos versionados.</t>
  </si>
  <si>
    <t>Consulta de cargos asociados</t>
  </si>
  <si>
    <t>OE-07</t>
  </si>
  <si>
    <t>Mantener trazabilidad mediante RUT, identificadores externos, lotes y eventos.</t>
  </si>
  <si>
    <t>Permitir consultar los cargos que componen una deuda y su relación con el saldo total. Este requisito se enmarca en el área «Consulta de obligaciones» y debe mantenerse coherente con Portal / ms-debt, sin romper el desacoplamiento, la trazabilidad ni los controles definidos por DataBridge.</t>
  </si>
  <si>
    <t>OE-08</t>
  </si>
  <si>
    <t>1) Los cargos visibles pertenecen a la deuda consultada y sus montos son consistentes con el saldo registrado.
2) Debe contemplarse al menos un caso negativo o de borde aplicable al requisito.
3) El cumplimiento debe quedar respaldado por evidencia reproducible antes de considerarse terminado.</t>
  </si>
  <si>
    <t>RNF-05</t>
  </si>
  <si>
    <t>Incorporar un asistente de IA de solo lectura para apoyar consultas del deudor.</t>
  </si>
  <si>
    <t>Renovación y revocación segura de sesión</t>
  </si>
  <si>
    <t>OE-09</t>
  </si>
  <si>
    <t>RF-09</t>
  </si>
  <si>
    <t>Validar la solución mediante pruebas unitarias, integración, rendimiento, seguridad y extremo a extremo.</t>
  </si>
  <si>
    <t>Consulta de acreedor y referencias</t>
  </si>
  <si>
    <t>OE-10</t>
  </si>
  <si>
    <t>Mantener documentación técnica, arquitectura, datos, UML, despliegue y evidencias actualizadas.</t>
  </si>
  <si>
    <t>Presentar al deudor la identificación del acreedor y las referencias externas disponibles para su obligación. Este requisito se enmarca en el área «Consulta de obligaciones» y debe mantenerse coherente con Portal / ms-debt, sin romper el desacoplamiento, la trazabilidad ni los controles definidos por DataBridge.</t>
  </si>
  <si>
    <t>1) El portal muestra acreedor e identificadores/referencias asociados sin exponer claves internas innecesarias.
2) Debe contemplarse al menos un caso negativo o de borde aplicable al requisito.
3) El cumplimiento debe quedar respaldado por evidencia reproducible antes de considerarse terminado.</t>
  </si>
  <si>
    <t>La renovación y revocación de sesiones debe impedir reutilización indebida de credenciales de sesión. Este requisito se enmarca en el área «Seguridad, privacidad e idempotencia» y debe mantenerse coherente con Seguridad / Servicios backend, sin romper el desacoplamiento, la trazabilidad ni los controles definidos por DataBridge.</t>
  </si>
  <si>
    <t>1) Un token revocado o una renovación inválida no permite recuperar acceso autorizado.
2) La verificación debe registrar condición de prueba, resultado esperado y resultado obtenido.
3) El cumplimiento debe quedar respaldado por evidencia reproducible antes de considerarse terminado.</t>
  </si>
  <si>
    <t>RF-10</t>
  </si>
  <si>
    <t>Consulta de estado de deuda</t>
  </si>
  <si>
    <t>Informar el estado vigente de cada obligación, por ejemplo activa, repactada, retirada o saldada según corresponda. Este requisito se enmarca en el área «Consulta de obligaciones» y debe mantenerse coherente con Portal / ms-debt, sin romper el desacoplamiento, la trazabilidad ni los controles definidos por DataBridge.</t>
  </si>
  <si>
    <t>RNF-06</t>
  </si>
  <si>
    <t>1) El estado mostrado coincide con el último estado válido registrado por ms-debt.
2) Debe contemplarse al menos un caso negativo o de borde aplicable al requisito.
3) El cumplimiento debe quedar respaldado por evidencia reproducible antes de considerarse terminado.</t>
  </si>
  <si>
    <t>Autorización por identidad del deudor</t>
  </si>
  <si>
    <t>RF-11</t>
  </si>
  <si>
    <t>Simulación de repactación</t>
  </si>
  <si>
    <t>CU-03</t>
  </si>
  <si>
    <t>Permitir simular alternativas de repactación para una deuda conforme a las reglas definidas. Este requisito se enmarca en el área «Simulación de repactación» y debe mantenerse coherente con Portal / ms-debt, sin romper el desacoplamiento, la trazabilidad ni los controles definidos por DataBridge.</t>
  </si>
  <si>
    <t>Un deudor solo debe acceder a información y operaciones vinculadas a su propia identidad. Este requisito se enmarca en el área «Seguridad, privacidad e idempotencia» y debe mantenerse coherente con Seguridad / Servicios backend, sin romper el desacoplamiento, la trazabilidad ni los controles definidos por DataBridge.</t>
  </si>
  <si>
    <t>1) Para una deuda elegible se generan alternativas válidas y no se modifica la deuda durante la simulación.
2) Debe contemplarse al menos un caso negativo o de borde aplicable al requisito.
3) El cumplimiento debe quedar respaldado por evidencia reproducible antes de considerarse terminado.</t>
  </si>
  <si>
    <t>RF-06, RF-07</t>
  </si>
  <si>
    <t>1) Pruebas de acceso cruzado entre dos RUT son rechazadas para consulta y pago.
2) La verificación debe registrar condición de prueba, resultado esperado y resultado obtenido.
3) El cumplimiento debe quedar respaldado por evidencia reproducible antes de considerarse terminado.</t>
  </si>
  <si>
    <t>Caso de prueba de simulación/aceptación + registro en ms-debt + validación de cuotas/estado.</t>
  </si>
  <si>
    <t>Prueba o revisión técnica reproducible + log/captura/reporte + referencia en backlog.</t>
  </si>
  <si>
    <t>RF-12</t>
  </si>
  <si>
    <t>Cálculo de cuotas de repactación</t>
  </si>
  <si>
    <t>RNF-07</t>
  </si>
  <si>
    <t>Autorización por organización</t>
  </si>
  <si>
    <t>Calcular el número, monto y condiciones de las cuotas asociadas a una alternativa de repactación. Este requisito se enmarca en el área «Simulación de repactación» y debe mantenerse coherente con Portal / ms-debt, sin romper el desacoplamiento, la trazabilidad ni los controles definidos por DataBridge.</t>
  </si>
  <si>
    <t>1) El cálculo produce cuotas consistentes con la alternativa seleccionada y las reglas configuradas.
2) Debe contemplarse al menos un caso negativo o de borde aplicable al requisito.
3) El cumplimiento debe quedar respaldado por evidencia reproducible antes de considerarse terminado.</t>
  </si>
  <si>
    <t>Una organización integrada solo debe acceder a recursos y datos que le correspondan. Este requisito se enmarca en el área «Seguridad, privacidad e idempotencia» y debe mantenerse coherente con Seguridad / Servicios backend, sin romper el desacoplamiento, la trazabilidad ni los controles definidos por DataBridge.</t>
  </si>
  <si>
    <t>RF-13</t>
  </si>
  <si>
    <t>Aceptación de repactación</t>
  </si>
  <si>
    <t>1) Credenciales de una organización no permiten operar sobre recursos fuera de su alcance autorizado.
2) La verificación debe registrar condición de prueba, resultado esperado y resultado obtenido.
3) El cumplimiento debe quedar respaldado por evidencia reproducible antes de considerarse terminado.</t>
  </si>
  <si>
    <t>CU-04</t>
  </si>
  <si>
    <t>Registrar la aceptación explícita de una alternativa de repactación seleccionada por el deudor. Este requisito se enmarca en el área «Aceptación de repactación» y debe mantenerse coherente con Portal / ms-debt, sin romper el desacoplamiento, la trazabilidad ni los controles definidos por DataBridge.</t>
  </si>
  <si>
    <t>1) La aceptación queda persistida, vinculada a la deuda y genera las cuotas correspondientes.
2) Debe contemplarse al menos un caso negativo o de borde aplicable al requisito.
3) El cumplimiento debe quedar respaldado por evidencia reproducible antes de considerarse terminado.</t>
  </si>
  <si>
    <t>RF-11, RF-12</t>
  </si>
  <si>
    <t>RNF-08</t>
  </si>
  <si>
    <t>Protección no reversible de secretos</t>
  </si>
  <si>
    <t>RF-14</t>
  </si>
  <si>
    <t>Consulta de repactación vigente</t>
  </si>
  <si>
    <t>Privacidad y seguridad</t>
  </si>
  <si>
    <t>Permitir visualizar una repactación aceptada y las cuotas generadas asociadas. Este requisito se enmarca en el área «Aceptación de repactación» y debe mantenerse coherente con Portal / ms-debt, sin romper el desacoplamiento, la trazabilidad ni los controles definidos por DataBridge.</t>
  </si>
  <si>
    <t>1) El deudor visualiza únicamente su repactación vigente con cuotas y estados correspondientes.
2) Debe contemplarse al menos un caso negativo o de borde aplicable al requisito.
3) El cumplimiento debe quedar respaldado por evidencia reproducible antes de considerarse terminado.</t>
  </si>
  <si>
    <t>Códigos, secretos y credenciales deben almacenarse de forma no reversible cuando corresponda. Este requisito se enmarca en el área «Seguridad, privacidad e idempotencia» y debe mantenerse coherente con Seguridad / Servicios backend, sin romper el desacoplamiento, la trazabilidad ni los controles definidos por DataBridge.</t>
  </si>
  <si>
    <t>Pendiente de validación técnica o funcional por el equipo antes de incorporarlo como compromiso definitivo.</t>
  </si>
  <si>
    <t>1) La revisión de persistencia no encuentra secretos recuperables en texto plano donde se exige protección.
2) La verificación debe registrar condición de prueba, resultado esperado y resultado obtenido.
3) El cumplimiento debe quedar respaldado por evidencia reproducible antes de considerarse terminado.</t>
  </si>
  <si>
    <t>RF-15</t>
  </si>
  <si>
    <t>RF-19, RF-22, RF-25 a RF-38 según operación repetible.</t>
  </si>
  <si>
    <t>Registro de evento de repactación</t>
  </si>
  <si>
    <t>Funcional de integración</t>
  </si>
  <si>
    <t>Emitir el evento repactacion.aceptada cuando una repactación quede confirmada. Este requisito se enmarca en el área «Aceptación de repactación» y debe mantenerse coherente con Portal / ms-debt, sin romper el desacoplamiento, la trazabilidad ni los controles definidos por DataBridge.</t>
  </si>
  <si>
    <t>1) El evento se genera una sola vez por operación, contiene identificadores externos y queda disponible para entrega.
2) Debe contemplarse al menos un caso negativo o de borde aplicable al requisito.
3) El cumplimiento debe quedar respaldado por evidencia reproducible antes de considerarse terminado.</t>
  </si>
  <si>
    <t>RF-13, RF-35</t>
  </si>
  <si>
    <t>RNF-09</t>
  </si>
  <si>
    <t>Minimización de datos personales en eventos</t>
  </si>
  <si>
    <t>RF-16</t>
  </si>
  <si>
    <t>Privacidad</t>
  </si>
  <si>
    <t>Inicio de pago</t>
  </si>
  <si>
    <t>ms-payments / ms-debt / RabbitMQ</t>
  </si>
  <si>
    <t>CU-05</t>
  </si>
  <si>
    <t>Los eventos empresariales deben incluir únicamente los datos personales necesarios para su finalidad. Este requisito se enmarca en el área «Seguridad, privacidad e idempotencia» y debe mantenerse coherente con Seguridad / Servicios backend, sin romper el desacoplamiento, la trazabilidad ni los controles definidos por DataBridge.</t>
  </si>
  <si>
    <t>Permitir iniciar el proceso de pago de una deuda o cuota desde el portal. Este requisito se enmarca en el área «Pago y actualización de saldo» y debe mantenerse coherente con ms-payments / ms-debt / RabbitMQ, sin romper el desacoplamiento, la trazabilidad ni los controles definidos por DataBridge.</t>
  </si>
  <si>
    <t>1) El inicio de pago utiliza el monto obtenido desde los servicios internos y no confía en un monto alterado en el navegador.
2) Debe contemplarse al menos un caso negativo o de borde aplicable al requisito.
3) El cumplimiento debe quedar respaldado por evidencia reproducible antes de considerarse terminado.</t>
  </si>
  <si>
    <t>1) La revisión de payloads confirma ausencia de datos personales innecesarios respecto del contrato.
2) La verificación debe registrar condición de prueba, resultado esperado y resultado obtenido.
3) El cumplimiento debe quedar respaldado por evidencia reproducible antes de considerarse terminado.</t>
  </si>
  <si>
    <t>RF-06, RF-17</t>
  </si>
  <si>
    <t>Prueba de integración ms-payments/ms-debt + persistencia + evento o resultado de pago reproducible.</t>
  </si>
  <si>
    <t>Evento capturado + firma/timestamp cuando aplique + registro outbox/cola + evidencia de reintento.</t>
  </si>
  <si>
    <t>RF-17</t>
  </si>
  <si>
    <t>Verificación interna del monto de pago</t>
  </si>
  <si>
    <t>RNF-10</t>
  </si>
  <si>
    <t>Firma de eventos externos</t>
  </si>
  <si>
    <t>Verificar en ms-debt el monto vigente antes de crear o confirmar una operación de cobro. Este requisito se enmarca en el área «Pago y actualización de saldo» y debe mantenerse coherente con ms-payments / ms-debt / RabbitMQ, sin romper el desacoplamiento, la trazabilidad ni los controles definidos por DataBridge.</t>
  </si>
  <si>
    <t>Seguridad de integración</t>
  </si>
  <si>
    <t>1) Una manipulación del monto enviado por el cliente no modifica el monto autorizado por el backend.
2) Debe contemplarse al menos un caso negativo o de borde aplicable al requisito.
3) El cumplimiento debe quedar respaldado por evidencia reproducible antes de considerarse terminado.</t>
  </si>
  <si>
    <t>RF-16, RF-07</t>
  </si>
  <si>
    <t>RF-18</t>
  </si>
  <si>
    <t>Registro de transacción de pago</t>
  </si>
  <si>
    <t>Los eventos empresariales deben incorporar un mecanismo de firma que permita verificar integridad y origen. Este requisito se enmarca en el área «Seguridad, privacidad e idempotencia» y debe mantenerse coherente con Seguridad / Servicios backend, sin romper el desacoplamiento, la trazabilidad ni los controles definidos por DataBridge.</t>
  </si>
  <si>
    <t>1) Una firma válida es aceptada y una firma alterada es rechazada por el verificador.
2) La verificación debe registrar condición de prueba, resultado esperado y resultado obtenido.
3) El cumplimiento debe quedar respaldado por evidencia reproducible antes de considerarse terminado.</t>
  </si>
  <si>
    <t>Persistir cada intento de pago con su identificador, estado y referencia a la obligación correspondiente. Este requisito se enmarca en el área «Pago y actualización de saldo» y debe mantenerse coherente con ms-payments / ms-debt / RabbitMQ, sin romper el desacoplamiento, la trazabilidad ni los controles definidos por DataBridge.</t>
  </si>
  <si>
    <t>1) Cada operación queda registrada con identificador único y puede consultarse sin duplicar transacciones.
2) Debe contemplarse al menos un caso negativo o de borde aplicable al requisito.
3) El cumplimiento debe quedar respaldado por evidencia reproducible antes de considerarse terminado.</t>
  </si>
  <si>
    <t>RNF-11</t>
  </si>
  <si>
    <t>RF-19</t>
  </si>
  <si>
    <t>Confirmación de pago</t>
  </si>
  <si>
    <t>Validación de timestamp en eventos</t>
  </si>
  <si>
    <t>Registrar la confirmación de una transacción y comunicar el resultado al servicio de deuda. Este requisito se enmarca en el área «Pago y actualización de saldo» y debe mantenerse coherente con ms-payments / ms-debt / RabbitMQ, sin romper el desacoplamiento, la trazabilidad ni los controles definidos por DataBridge.</t>
  </si>
  <si>
    <t>La verificación de eventos debe considerar timestamp para reducir ataques de replay. Este requisito se enmarca en el área «Seguridad, privacidad e idempotencia» y debe mantenerse coherente con Seguridad / Servicios backend, sin romper el desacoplamiento, la trazabilidad ni los controles definidos por DataBridge.</t>
  </si>
  <si>
    <t>1) Un pago confirmado queda persistido y produce el evento pago.confirmado hacia el flujo de deuda.
2) Debe contemplarse al menos un caso negativo o de borde aplicable al requisito.
3) El cumplimiento debe quedar respaldado por evidencia reproducible antes de considerarse terminado.</t>
  </si>
  <si>
    <t>RF-18, RF-46</t>
  </si>
  <si>
    <t>1) Un evento fuera de la ventana temporal configurada es rechazado aunque su estructura sea válida.
2) La verificación debe registrar condición de prueba, resultado esperado y resultado obtenido.
3) El cumplimiento debe quedar respaldado por evidencia reproducible antes de considerarse terminado.</t>
  </si>
  <si>
    <t>RF-20</t>
  </si>
  <si>
    <t>Procesamiento de pago parcial</t>
  </si>
  <si>
    <t>RNF-12</t>
  </si>
  <si>
    <t>Aplicar un abono inferior al saldo total y recalcular el saldo pendiente de la obligación. Este requisito se enmarca en el área «Pago y actualización de saldo» y debe mantenerse coherente con ms-payments / ms-debt / RabbitMQ, sin romper el desacoplamiento, la trazabilidad ni los controles definidos por DataBridge.</t>
  </si>
  <si>
    <t>Deduplicación de eventos</t>
  </si>
  <si>
    <t>1) El saldo disminuye exactamente por el abono válido y la deuda permanece abierta cuando corresponde.
2) Debe contemplarse al menos un caso negativo o de borde aplicable al requisito.
3) El cumplimiento debe quedar respaldado por evidencia reproducible antes de considerarse terminado.</t>
  </si>
  <si>
    <t>RF-21</t>
  </si>
  <si>
    <t>Los eventos repetidos deben identificarse y evitar efectos duplicados. Este requisito se enmarca en el área «Seguridad, privacidad e idempotencia» y debe mantenerse coherente con Seguridad / Servicios backend, sin romper el desacoplamiento, la trazabilidad ni los controles definidos por DataBridge.</t>
  </si>
  <si>
    <t>Procesamiento de pago total</t>
  </si>
  <si>
    <t>1) Reprocesar el mismo identificador de evento no duplica la actualización ni la transacción.
2) La verificación debe registrar condición de prueba, resultado esperado y resultado obtenido.
3) El cumplimiento debe quedar respaldado por evidencia reproducible antes de considerarse terminado.</t>
  </si>
  <si>
    <t>Reconocer un pago que cubre el saldo total y actualizar la obligación como saldada. Este requisito se enmarca en el área «Pago y actualización de saldo» y debe mantenerse coherente con ms-payments / ms-debt / RabbitMQ, sin romper el desacoplamiento, la trazabilidad ni los controles definidos por DataBridge.</t>
  </si>
  <si>
    <t>RNF-13</t>
  </si>
  <si>
    <t>Idempotencia de lotes</t>
  </si>
  <si>
    <t>1) Cuando el saldo llega a cero, la deuda cambia al estado pagada/saldada y no conserva saldo pendiente.
2) Debe contemplarse al menos un caso negativo o de borde aplicable al requisito.
3) El cumplimiento debe quedar respaldado por evidencia reproducible antes de considerarse terminado.</t>
  </si>
  <si>
    <t>RF-19, RF-20</t>
  </si>
  <si>
    <t>Confiabilidad</t>
  </si>
  <si>
    <t>RF-22</t>
  </si>
  <si>
    <t>Emisión de evento deuda saldada</t>
  </si>
  <si>
    <t>El procesamiento de carteras debe ser idempotente frente al reenvío del mismo lote. Este requisito se enmarca en el área «Seguridad, privacidad e idempotencia» y debe mantenerse coherente con Seguridad / Servicios backend, sin romper el desacoplamiento, la trazabilidad ni los controles definidos por DataBridge.</t>
  </si>
  <si>
    <t>1) Dos envíos equivalentes del mismo lote producen un único conjunto de deudas persistidas.
2) La verificación debe registrar condición de prueba, resultado esperado y resultado obtenido.
3) El cumplimiento debe quedar respaldado por evidencia reproducible antes de considerarse terminado.</t>
  </si>
  <si>
    <t>Request/archivo de prueba + respuesta por registro + persistencia + correlación por identificador externo/lote.</t>
  </si>
  <si>
    <t>Emitir deuda.saldada cuando una obligación alcance saldo cero. Este requisito se enmarca en el área «Pago y actualización de saldo» y debe mantenerse coherente con ms-payments / ms-debt / RabbitMQ, sin romper el desacoplamiento, la trazabilidad ni los controles definidos por DataBridge.</t>
  </si>
  <si>
    <t>1) El evento se emite una sola vez, incluye identificadores externos y puede ser verificado por el receptor.
2) Debe contemplarse al menos un caso negativo o de borde aplicable al requisito.
3) El cumplimiento debe quedar respaldado por evidencia reproducible antes de considerarse terminado.</t>
  </si>
  <si>
    <t>RF-21, RF-35</t>
  </si>
  <si>
    <t>RNF-14</t>
  </si>
  <si>
    <t>RF-23</t>
  </si>
  <si>
    <t>Idempotencia de pagos</t>
  </si>
  <si>
    <t>Generación de certificado de deuda pagada</t>
  </si>
  <si>
    <t>CU-07</t>
  </si>
  <si>
    <t>Generar un certificado cuando la obligación cumpla la condición definida de deuda pagada. Este requisito se enmarca en el área «Certificación de deuda pagada» y debe mantenerse coherente con Portal / ms-debt, sin romper el desacoplamiento, la trazabilidad ni los controles definidos por DataBridge.</t>
  </si>
  <si>
    <t>La confirmación repetida de una misma operación de pago no debe duplicar abonos. Este requisito se enmarca en el área «Seguridad, privacidad e idempotencia» y debe mantenerse coherente con Seguridad / Servicios backend, sin romper el desacoplamiento, la trazabilidad ni los controles definidos por DataBridge.</t>
  </si>
  <si>
    <t>1) Solo una deuda saldada permite generar el certificado y una deuda con saldo pendiente es rechazada.
2) Debe contemplarse al menos un caso negativo o de borde aplicable al requisito.
3) El cumplimiento debe quedar respaldado por evidencia reproducible antes de considerarse terminado.</t>
  </si>
  <si>
    <t>1) Repetir la confirmación mantiene un solo efecto financiero sobre el saldo.
2) La verificación debe registrar condición de prueba, resultado esperado y resultado obtenido.
3) El cumplimiento debe quedar respaldado por evidencia reproducible antes de considerarse terminado.</t>
  </si>
  <si>
    <t>RF-24</t>
  </si>
  <si>
    <t>Descarga de certificado</t>
  </si>
  <si>
    <t>RNF-15</t>
  </si>
  <si>
    <t>Desacoplamiento de bases de datos</t>
  </si>
  <si>
    <t>Permitir al deudor descargar el certificado generado desde el portal. Este requisito se enmarca en el área «Certificación de deuda pagada» y debe mantenerse coherente con Portal / ms-debt, sin romper el desacoplamiento, la trazabilidad ni los controles definidos por DataBridge.</t>
  </si>
  <si>
    <t>Arquitectura</t>
  </si>
  <si>
    <t>1) El certificado correspondiente a la deuda saldada puede descargarse desde una sesión autorizada.
2) Debe contemplarse al menos un caso negativo o de borde aplicable al requisito.
3) El cumplimiento debe quedar respaldado por evidencia reproducible antes de considerarse terminado.</t>
  </si>
  <si>
    <t>Arquitectura / APIs / Integraciones</t>
  </si>
  <si>
    <t>RF-25</t>
  </si>
  <si>
    <t>Martín Gutiérrez, Esteban Maino, Flavio Henríquez, Pedro Campos</t>
  </si>
  <si>
    <t>Carga de cartera mediante CSV</t>
  </si>
  <si>
    <t>Ningún sistema externo ni microservicio ajeno debe depender de leer directamente la base de datos de otro sistema. Este requisito se enmarca en el área «Arquitectura e interoperabilidad» y debe mantenerse coherente con Arquitectura / APIs / Integraciones, sin romper el desacoplamiento, la trazabilidad ni los controles definidos por DataBridge.</t>
  </si>
  <si>
    <t>ms-debt / Integración Cartera v1</t>
  </si>
  <si>
    <t>CU-08 / CU-09</t>
  </si>
  <si>
    <t>1) La arquitectura y configuración muestran integración por APIs/eventos y persistencia separada por servicio.
2) La verificación debe registrar condición de prueba, resultado esperado y resultado obtenido.
3) El cumplimiento debe quedar respaldado por evidencia reproducible antes de considerarse terminado.</t>
  </si>
  <si>
    <t>RF-25 a RF-38 y contratos Cartera v1/eventos.</t>
  </si>
  <si>
    <t>Permitir cargar una cartera mediante un archivo CSV compatible con el contrato definido. Este requisito se enmarca en el área «Ingreso y procesamiento de cartera» y debe mantenerse coherente con ms-debt / Integración Cartera v1, sin romper el desacoplamiento, la trazabilidad ni los controles definidos por DataBridge.</t>
  </si>
  <si>
    <t>Revisión documental versionada y contraste con repositorio/implementación vigente.</t>
  </si>
  <si>
    <t>1) Un archivo válido se procesa; filas inválidas son informadas sin ocultar el resultado de las válidas.
2) Debe contemplarse al menos un caso negativo o de borde aplicable al requisito.
3) El cumplimiento debe quedar respaldado por evidencia reproducible antes de considerarse terminado.</t>
  </si>
  <si>
    <t>RNF-17, RNF-13</t>
  </si>
  <si>
    <t>RNF-16</t>
  </si>
  <si>
    <t>Persistencia separada por servicio</t>
  </si>
  <si>
    <t>RF-26</t>
  </si>
  <si>
    <t>Recepción de Cartera v1 por API</t>
  </si>
  <si>
    <t>Recibir carteras desde APOFYX mediante una API autenticada y versionada. Este requisito se enmarca en el área «Ingreso y procesamiento de cartera» y debe mantenerse coherente con ms-debt / Integración Cartera v1, sin romper el desacoplamiento, la trazabilidad ni los controles definidos por DataBridge.</t>
  </si>
  <si>
    <t>Cada microservicio principal debe mantener su persistencia conforme a la separación definida en la arquitectura. Este requisito se enmarca en el área «Arquitectura e interoperabilidad» y debe mantenerse coherente con Arquitectura / APIs / Integraciones, sin romper el desacoplamiento, la trazabilidad ni los controles definidos por DataBridge.</t>
  </si>
  <si>
    <t>1) Una solicitud conforme a Cartera v1 se valida y procesa; una solicitud no autenticada o inválida es rechazada.
2) Debe contemplarse al menos un caso negativo o de borde aplicable al requisito.
3) El cumplimiento debe quedar respaldado por evidencia reproducible antes de considerarse terminado.</t>
  </si>
  <si>
    <t>RNF-17, RNF-20</t>
  </si>
  <si>
    <t>1) Los esquemas/conexiones de ms-auth, ms-debt y ms-payments se encuentran separados según el diseño vigente.
2) La verificación debe registrar condición de prueba, resultado esperado y resultado obtenido.
3) El cumplimiento debe quedar respaldado por evidencia reproducible antes de considerarse terminado.</t>
  </si>
  <si>
    <t>Conversación de prueba + evidencia de lectura autorizada + prueba negativa de escritura.</t>
  </si>
  <si>
    <t>RF-27</t>
  </si>
  <si>
    <t>Validación de estructura de cartera</t>
  </si>
  <si>
    <t>RNF-17</t>
  </si>
  <si>
    <t>Contratos de integración versionados</t>
  </si>
  <si>
    <t>Validar campos obligatorios, tipos, referencias e identificadores de cada deuda recibida. Este requisito se enmarca en el área «Ingreso y procesamiento de cartera» y debe mantenerse coherente con ms-debt / Integración Cartera v1, sin romper el desacoplamiento, la trazabilidad ni los controles definidos por DataBridge.</t>
  </si>
  <si>
    <t>1) Cada registro obtiene un resultado de aceptación o rechazo con causa identificable.
2) Debe contemplarse al menos un caso negativo o de borde aplicable al requisito.
3) El cumplimiento debe quedar respaldado por evidencia reproducible antes de considerarse terminado.</t>
  </si>
  <si>
    <t>Interoperabilidad</t>
  </si>
  <si>
    <t>RF-25/RF-26</t>
  </si>
  <si>
    <t>RF-28</t>
  </si>
  <si>
    <t>Procesamiento idempotente de lotes</t>
  </si>
  <si>
    <t>Las APIs y contratos externos deben disponer de versión explícita para permitir evolución compatible. Este requisito se enmarca en el área «Arquitectura e interoperabilidad» y debe mantenerse coherente con Arquitectura / APIs / Integraciones, sin romper el desacoplamiento, la trazabilidad ni los controles definidos por DataBridge.</t>
  </si>
  <si>
    <t>Evitar duplicación cuando se reenvíe un mismo lote de cartera. Este requisito se enmarca en el área «Ingreso y procesamiento de cartera» y debe mantenerse coherente con ms-debt / Integración Cartera v1, sin romper el desacoplamiento, la trazabilidad ni los controles definidos por DataBridge.</t>
  </si>
  <si>
    <t>1) Cartera y eventos exponen o documentan su versión y los cambios incompatibles no se introducen silenciosamente.
2) La verificación debe registrar condición de prueba, resultado esperado y resultado obtenido.
3) El cumplimiento debe quedar respaldado por evidencia reproducible antes de considerarse terminado.</t>
  </si>
  <si>
    <t>1) Reenviar el mismo lote no crea deudas duplicadas ni altera indebidamente el resultado original.
2) Debe contemplarse al menos un caso negativo o de borde aplicable al requisito.
3) El cumplimiento debe quedar respaldado por evidencia reproducible antes de considerarse terminado.</t>
  </si>
  <si>
    <t>RF-26, RNF-13</t>
  </si>
  <si>
    <t>RF-29</t>
  </si>
  <si>
    <t>RNF-18</t>
  </si>
  <si>
    <t>Aceptación parcial de lote</t>
  </si>
  <si>
    <t>Uso de identificadores externos</t>
  </si>
  <si>
    <t>Procesar los registros válidos de un lote aunque otros registros sean rechazados. Este requisito se enmarca en el área «Ingreso y procesamiento de cartera» y debe mantenerse coherente con ms-debt / Integración Cartera v1, sin romper el desacoplamiento, la trazabilidad ni los controles definidos por DataBridge.</t>
  </si>
  <si>
    <t>1) Un lote mixto conserva las deudas válidas e informa individualmente los registros rechazados.
2) Debe contemplarse al menos un caso negativo o de borde aplicable al requisito.
3) El cumplimiento debe quedar respaldado por evidencia reproducible antes de considerarse terminado.</t>
  </si>
  <si>
    <t>La integración debe utilizar RUT e identificadores externos en vez de depender de claves primarias internas. Este requisito se enmarca en el área «Arquitectura e interoperabilidad» y debe mantenerse coherente con Arquitectura / APIs / Integraciones, sin romper el desacoplamiento, la trazabilidad ni los controles definidos por DataBridge.</t>
  </si>
  <si>
    <t>1) Los payloads de integración permiten correlacionar deudas sin exponer ni requerir IDs internos de base de datos.
2) La verificación debe registrar condición de prueba, resultado esperado y resultado obtenido.
3) El cumplimiento debe quedar respaldado por evidencia reproducible antes de considerarse terminado.</t>
  </si>
  <si>
    <t>RF-30</t>
  </si>
  <si>
    <t>Registro de identificadores externos</t>
  </si>
  <si>
    <t>ms-debt / Integración APOFYX</t>
  </si>
  <si>
    <t>RNF-19</t>
  </si>
  <si>
    <t>CU-10 / CU-14</t>
  </si>
  <si>
    <t>Independencia tecnológica del integrador</t>
  </si>
  <si>
    <t>Mantener identificadores externos para seguir cada deuda entre DataBridge y sistemas integrados. Este requisito se enmarca en el área «Trazabilidad y ciclo de deuda» y debe mantenerse coherente con ms-debt / Integración APOFYX, sin romper el desacoplamiento, la trazabilidad ni los controles definidos por DataBridge.</t>
  </si>
  <si>
    <t>1) Cada deuda integrada conserva su identificador externo y este se utiliza en actualizaciones y eventos.
2) Debe contemplarse al menos un caso negativo o de borde aplicable al requisito.
3) El cumplimiento debe quedar respaldado por evidencia reproducible antes de considerarse terminado.</t>
  </si>
  <si>
    <t>RF-25/RF-26, RNF-18</t>
  </si>
  <si>
    <t>Los contratos deben poder ser consumidos por sistemas externos independientemente de su stack tecnológico. Este requisito se enmarca en el área «Arquitectura e interoperabilidad» y debe mantenerse coherente con Arquitectura / APIs / Integraciones, sin romper el desacoplamiento, la trazabilidad ni los controles definidos por DataBridge.</t>
  </si>
  <si>
    <t>RF-31</t>
  </si>
  <si>
    <t>1) La integración se expresa mediante HTTP/JSON, archivos o eventos documentados sin exigir tecnología interna de DataBridge.
2) La verificación debe registrar condición de prueba, resultado esperado y resultado obtenido.
3) El cumplimiento debe quedar respaldado por evidencia reproducible antes de considerarse terminado.</t>
  </si>
  <si>
    <t>Registro de mandato</t>
  </si>
  <si>
    <t>RNF-20</t>
  </si>
  <si>
    <t>Configurabilidad de integraciones externas</t>
  </si>
  <si>
    <t>Registrar la relación autorizada entre agencia y acreedor antes de procesar cartera cuando corresponda. Este requisito se enmarca en el área «Trazabilidad y ciclo de deuda» y debe mantenerse coherente con ms-debt / Integración APOFYX, sin romper el desacoplamiento, la trazabilidad ni los controles definidos por DataBridge.</t>
  </si>
  <si>
    <t>1) Una cartera que requiere mandato se acepta con mandato vigente y se rechaza cuando la relación exigida no existe.
2) Debe contemplarse al menos un caso negativo o de borde aplicable al requisito.
3) El cumplimiento debe quedar respaldado por evidencia reproducible antes de considerarse terminado.</t>
  </si>
  <si>
    <t>RF-32</t>
  </si>
  <si>
    <t>Registro de campaña</t>
  </si>
  <si>
    <t>URLs, credenciales y parámetros de integración deben configurarse sin acoplarse permanentemente al código. Este requisito se enmarca en el área «Arquitectura e interoperabilidad» y debe mantenerse coherente con Arquitectura / APIs / Integraciones, sin romper el desacoplamiento, la trazabilidad ni los controles definidos por DataBridge.</t>
  </si>
  <si>
    <t>1) El endpoint o credencial puede cambiar mediante configuración/variables sin modificar lógica de negocio.
2) La verificación debe registrar condición de prueba, resultado esperado y resultado obtenido.
3) El cumplimiento debe quedar respaldado por evidencia reproducible antes de considerarse terminado.</t>
  </si>
  <si>
    <t>Registrar información de campaña vinculada a la agencia y al acreedor cuando el contrato lo requiera. Este requisito se enmarca en el área «Trazabilidad y ciclo de deuda» y debe mantenerse coherente con ms-debt / Integración APOFYX, sin romper el desacoplamiento, la trazabilidad ni los controles definidos por DataBridge.</t>
  </si>
  <si>
    <t>RNF-21</t>
  </si>
  <si>
    <t>1) Una campaña válida puede asociarse a la cartera y una referencia desconocida es informada como inválida.
2) Debe contemplarse al menos un caso negativo o de borde aplicable al requisito.
3) El cumplimiento debe quedar respaldado por evidencia reproducible antes de considerarse terminado.</t>
  </si>
  <si>
    <t>Outbox para eventos relevantes</t>
  </si>
  <si>
    <t>Resiliencia</t>
  </si>
  <si>
    <t>Outbox / RabbitMQ / Servicios</t>
  </si>
  <si>
    <t>RF-33</t>
  </si>
  <si>
    <t>Actualización de deuda externa</t>
  </si>
  <si>
    <t>Los mensajes salientes relevantes deben persistirse antes de su envío. Este requisito se enmarca en el área «Resiliencia y disponibilidad» y debe mantenerse coherente con Outbox / RabbitMQ / Servicios, sin romper el desacoplamiento, la trazabilidad ni los controles definidos por DataBridge.</t>
  </si>
  <si>
    <t>1) Ante un fallo de entrega, el evento continúa disponible para reintento desde el registro persistente.
2) La verificación debe registrar condición de prueba, resultado esperado y resultado obtenido.
3) El cumplimiento debe quedar respaldado por evidencia reproducible antes de considerarse terminado.</t>
  </si>
  <si>
    <t>RF-35 a RF-38, RabbitMQ/outbox y healthchecks.</t>
  </si>
  <si>
    <t>Procesar cambios sobre una deuda existente conservando su identidad externa y trazabilidad. Este requisito se enmarca en el área «Trazabilidad y ciclo de deuda» y debe mantenerse coherente con ms-debt / Integración APOFYX, sin romper el desacoplamiento, la trazabilidad ni los controles definidos por DataBridge.</t>
  </si>
  <si>
    <t>1) Una actualización válida modifica la deuda correcta sin crear una nueva obligación duplicada.
2) Debe contemplarse al menos un caso negativo o de borde aplicable al requisito.
3) El cumplimiento debe quedar respaldado por evidencia reproducible antes de considerarse terminado.</t>
  </si>
  <si>
    <t>RNF-22</t>
  </si>
  <si>
    <t>Reintentos controlados</t>
  </si>
  <si>
    <t>RF-34</t>
  </si>
  <si>
    <t>Retiro de deuda</t>
  </si>
  <si>
    <t>Las integraciones salientes deben disponer de reintentos controlados ante fallos temporales. Este requisito se enmarca en el área «Resiliencia y disponibilidad» y debe mantenerse coherente con Outbox / RabbitMQ / Servicios, sin romper el desacoplamiento, la trazabilidad ni los controles definidos por DataBridge.</t>
  </si>
  <si>
    <t>Procesar la instrucción de retiro de una obligación proveniente del sistema autorizado. Este requisito se enmarca en el área «Trazabilidad y ciclo de deuda» y debe mantenerse coherente con ms-debt / Integración APOFYX, sin romper el desacoplamiento, la trazabilidad ni los controles definidos por DataBridge.</t>
  </si>
  <si>
    <t>1) Simular receptor caído conserva el evento y un reintento posterior completa o registra el fallo de forma trazable.
2) La verificación debe registrar condición de prueba, resultado esperado y resultado obtenido.
3) El cumplimiento debe quedar respaldado por evidencia reproducible antes de considerarse terminado.</t>
  </si>
  <si>
    <t>1) La deuda indicada cambia al estado de retiro definido y conserva historial e identificador externo.
2) Debe contemplarse al menos un caso negativo o de borde aplicable al requisito.
3) El cumplimiento debe quedar respaldado por evidencia reproducible antes de considerarse terminado.</t>
  </si>
  <si>
    <t>RNF-23</t>
  </si>
  <si>
    <t>RF-35</t>
  </si>
  <si>
    <t>Tolerancia a caída temporal del receptor</t>
  </si>
  <si>
    <t>Suscripción a eventos</t>
  </si>
  <si>
    <t>ms-debt / Webhooks / Outbox</t>
  </si>
  <si>
    <t>CU-13</t>
  </si>
  <si>
    <t>Registrar un endpoint autorizado y su configuración para recibir eventos empresariales de DataBridge. Este requisito se enmarca en el área «Eventos empresariales» y debe mantenerse coherente con ms-debt / Webhooks / Outbox, sin romper el desacoplamiento, la trazabilidad ni los controles definidos por DataBridge.</t>
  </si>
  <si>
    <t>La indisponibilidad temporal de APOFYX u otro receptor no debe provocar pérdida de eventos relevantes. Este requisito se enmarca en el área «Resiliencia y disponibilidad» y debe mantenerse coherente con Outbox / RabbitMQ / Servicios, sin romper el desacoplamiento, la trazabilidad ni los controles definidos por DataBridge.</t>
  </si>
  <si>
    <t>1) La suscripción válida queda persistida con endpoint y secreto/configuración necesarios para entrega segura.
2) Debe contemplarse al menos un caso negativo o de borde aplicable al requisito.
3) El cumplimiento debe quedar respaldado por evidencia reproducible antes de considerarse terminado.</t>
  </si>
  <si>
    <t>1) Durante una caída simulada no se pierde el mensaje y su estado de entrega queda registrado.
2) La verificación debe registrar condición de prueba, resultado esperado y resultado obtenido.
3) El cumplimiento debe quedar respaldado por evidencia reproducible antes de considerarse terminado.</t>
  </si>
  <si>
    <t>RNF-10, RNF-20</t>
  </si>
  <si>
    <t>RF-36</t>
  </si>
  <si>
    <t>RNF-24</t>
  </si>
  <si>
    <t>Entrega de eventos empresariales</t>
  </si>
  <si>
    <t>Healthchecks de servicios</t>
  </si>
  <si>
    <t>Disponibilidad</t>
  </si>
  <si>
    <t>Enviar eventos relevantes a los endpoints suscritos conforme al contrato versionado. Este requisito se enmarca en el área «Eventos empresariales» y debe mantenerse coherente con ms-debt / Webhooks / Outbox, sin romper el desacoplamiento, la trazabilidad ni los controles definidos por DataBridge.</t>
  </si>
  <si>
    <t>Los servicios deben exponer mecanismos de healthcheck para identificar estado de arranque y dependencias. Este requisito se enmarca en el área «Resiliencia y disponibilidad» y debe mantenerse coherente con Outbox / RabbitMQ / Servicios, sin romper el desacoplamiento, la trazabilidad ni los controles definidos por DataBridge.</t>
  </si>
  <si>
    <t>1) El receptor obtiene el evento esperado con tipo, timestamp, identificadores y firma verificable.
2) Debe contemplarse al menos un caso negativo o de borde aplicable al requisito.
3) El cumplimiento debe quedar respaldado por evidencia reproducible antes de considerarse terminado.</t>
  </si>
  <si>
    <t>RF-35, RNF-10</t>
  </si>
  <si>
    <t>1) Cada servicio definido responde a su verificación de salud y reporta fallo cuando una dependencia crítica no está disponible.
2) La verificación debe registrar condición de prueba, resultado esperado y resultado obtenido.
3) El cumplimiento debe quedar respaldado por evidencia reproducible antes de considerarse terminado.</t>
  </si>
  <si>
    <t>Ejecución desde entorno limpio + Docker/Compose + healthcheck y logs de arranque.</t>
  </si>
  <si>
    <t>RF-37</t>
  </si>
  <si>
    <t>Reintento de entrega de eventos</t>
  </si>
  <si>
    <t>RNF-25</t>
  </si>
  <si>
    <t>Arranque reproducible con Docker Compose</t>
  </si>
  <si>
    <t>Portabilidad</t>
  </si>
  <si>
    <t>Docker / Gateway / Microservicios</t>
  </si>
  <si>
    <t>Reintentar la entrega de eventos relevantes cuando el receptor externo no esté disponible temporalmente. Este requisito se enmarca en el área «Eventos empresariales» y debe mantenerse coherente con ms-debt / Webhooks / Outbox, sin romper el desacoplamiento, la trazabilidad ni los controles definidos por DataBridge.</t>
  </si>
  <si>
    <t>1) Un fallo temporal no elimina el evento y un reintento posterior puede completar la entrega.
2) Debe contemplarse al menos un caso negativo o de borde aplicable al requisito.
3) El cumplimiento debe quedar respaldado por evidencia reproducible antes de considerarse terminado.</t>
  </si>
  <si>
    <t>Esteban Maino, Flavio Henríquez, Pedro Campos</t>
  </si>
  <si>
    <t>RF-36, RNF-21/RNF-22</t>
  </si>
  <si>
    <t>La plataforma debe poder levantarse de forma reproducible mediante Docker/Docker Compose en un ambiente compatible. Este requisito se enmarca en el área «Portabilidad, arquitectura y seguridad» y debe mantenerse coherente con Docker / Gateway / Microservicios, sin romper el desacoplamiento, la trazabilidad ni los controles definidos por DataBridge.</t>
  </si>
  <si>
    <t>1) Desde un entorno limpio y con variables documentadas los componentes definidos pueden iniciarse sin pasos manuales ocultos.
2) La verificación debe registrar condición de prueba, resultado esperado y resultado obtenido.
3) El cumplimiento debe quedar respaldado por evidencia reproducible antes de considerarse terminado.</t>
  </si>
  <si>
    <t>RF-44 a RF-46, Docker/Compose y configuración por entorno.</t>
  </si>
  <si>
    <t>RF-38</t>
  </si>
  <si>
    <t>Registro de eventos salientes</t>
  </si>
  <si>
    <t>RNF-26</t>
  </si>
  <si>
    <t>Configuración mediante variables de entorno</t>
  </si>
  <si>
    <t>Portabilidad y seguridad</t>
  </si>
  <si>
    <t>Persistir los eventos salientes relevantes antes de intentar su entrega externa. Este requisito se enmarca en el área «Eventos empresariales» y debe mantenerse coherente con ms-debt / Webhooks / Outbox, sin romper el desacoplamiento, la trazabilidad ni los controles definidos por DataBridge.</t>
  </si>
  <si>
    <t>1) El evento queda registrado antes del envío y puede recuperarse tras un fallo del receptor o del proceso.
2) Debe contemplarse al menos un caso negativo o de borde aplicable al requisito.
3) El cumplimiento debe quedar respaldado por evidencia reproducible antes de considerarse terminado.</t>
  </si>
  <si>
    <t>RF-36, RNF-21</t>
  </si>
  <si>
    <t>Los valores dependientes del entorno y secretos no deben quedar fijados directamente en el código. Este requisito se enmarca en el área «Portabilidad, arquitectura y seguridad» y debe mantenerse coherente con Docker / Gateway / Microservicios, sin romper el desacoplamiento, la trazabilidad ni los controles definidos por DataBridge.</t>
  </si>
  <si>
    <t>RF-39</t>
  </si>
  <si>
    <t>1) La revisión del repositorio confirma configuración externa y ausencia de secretos reales comprometidos.
2) La verificación debe registrar condición de prueba, resultado esperado y resultado obtenido.
3) El cumplimiento debe quedar respaldado por evidencia reproducible antes de considerarse terminado.</t>
  </si>
  <si>
    <t>Dashboard de cartera</t>
  </si>
  <si>
    <t>Funcional de gestión</t>
  </si>
  <si>
    <t>RNF-27</t>
  </si>
  <si>
    <t>Versionado de esquema con migraciones</t>
  </si>
  <si>
    <t>CU-12</t>
  </si>
  <si>
    <t>Mantenibilidad</t>
  </si>
  <si>
    <t>Presentar información resumida de la cartera disponible para apoyar la gestión del caso de cobranza. Este requisito se enmarca en el área «Dashboard y analítica» y debe mantenerse coherente con Portal / ms-debt, sin romper el desacoplamiento, la trazabilidad ni los controles definidos por DataBridge.</t>
  </si>
  <si>
    <t>1) El dashboard muestra indicadores calculados desde datos existentes y respeta el alcance autorizado.
2) Debe contemplarse al menos un caso negativo o de borde aplicable al requisito.
3) El cumplimiento debe quedar respaldado por evidencia reproducible antes de considerarse terminado.</t>
  </si>
  <si>
    <t>Los cambios de esquema de base de datos deben gestionarse mediante migraciones versionadas, por ejemplo Flyway. Este requisito se enmarca en el área «Portabilidad, arquitectura y seguridad» y debe mantenerse coherente con Docker / Gateway / Microservicios, sin romper el desacoplamiento, la trazabilidad ni los controles definidos por DataBridge.</t>
  </si>
  <si>
    <t>1) Un entorno limpio aplica las migraciones en orden y alcanza el esquema esperado sin edición manual.
2) La verificación debe registrar condición de prueba, resultado esperado y resultado obtenido.
3) El cumplimiento debe quedar respaldado por evidencia reproducible antes de considerarse terminado.</t>
  </si>
  <si>
    <t>RF-40</t>
  </si>
  <si>
    <t>Analítica básica de recuperación</t>
  </si>
  <si>
    <t>RNF-28</t>
  </si>
  <si>
    <t>Separación de responsabilidades por microservicio</t>
  </si>
  <si>
    <t>Proporcionar métricas básicas derivadas de pagos y estados de cartera sin inventar indicadores no medidos. Este requisito se enmarca en el área «Dashboard y analítica» y debe mantenerse coherente con Portal / ms-debt, sin romper el desacoplamiento, la trazabilidad ni los controles definidos por DataBridge.</t>
  </si>
  <si>
    <t>1) Los valores del panel pueden rastrearse a registros reales y sus fórmulas o consultas son reproducibles.
2) Debe contemplarse al menos un caso negativo o de borde aplicable al requisito.
3) El cumplimiento debe quedar respaldado por evidencia reproducible antes de considerarse terminado.</t>
  </si>
  <si>
    <t>Captura del dashboard + respuesta del endpoint + consulta reproducible sobre datos de prueba.</t>
  </si>
  <si>
    <t>El código debe mantener las responsabilidades de autenticación, deuda, pagos e IA separadas conforme a la arquitectura. Este requisito se enmarca en el área «Portabilidad, arquitectura y seguridad» y debe mantenerse coherente con Docker / Gateway / Microservicios, sin romper el desacoplamiento, la trazabilidad ni los controles definidos por DataBridge.</t>
  </si>
  <si>
    <t>RF-41</t>
  </si>
  <si>
    <t>1) La revisión de componentes confirma que cada servicio concentra su dominio y no requiere una base compartida.
2) La verificación debe registrar condición de prueba, resultado esperado y resultado obtenido.
3) El cumplimiento debe quedar respaldado por evidencia reproducible antes de considerarse terminado.</t>
  </si>
  <si>
    <t>Asistente IA de solo lectura</t>
  </si>
  <si>
    <t>Portal / ms-ai / ms-debt</t>
  </si>
  <si>
    <t>CU-06</t>
  </si>
  <si>
    <t>RNF-29</t>
  </si>
  <si>
    <t>Entrada única mediante Gateway</t>
  </si>
  <si>
    <t>Ofrecer un asistente para responder consultas relacionadas con la deuda visible en la sesión del deudor. Este requisito se enmarca en el área «Asistencia IA de solo lectura» y debe mantenerse coherente con Portal / ms-ai / ms-debt, sin romper el desacoplamiento, la trazabilidad ni los controles definidos por DataBridge.</t>
  </si>
  <si>
    <t>1) El asistente puede consultar contexto autorizado pero no modifica deudas, pagos, repactaciones ni reglas de negocio.
2) Debe contemplarse al menos un caso negativo o de borde aplicable al requisito.
3) El cumplimiento debe quedar respaldado por evidencia reproducible antes de considerarse terminado.</t>
  </si>
  <si>
    <t>RF-01, RF-06</t>
  </si>
  <si>
    <t>RF-42</t>
  </si>
  <si>
    <t>El portal debe utilizar el Gateway como punto central de entrada a los servicios backend. Este requisito se enmarca en el área «Portabilidad, arquitectura y seguridad» y debe mantenerse coherente con Docker / Gateway / Microservicios, sin romper el desacoplamiento, la trazabilidad ni los controles definidos por DataBridge.</t>
  </si>
  <si>
    <t>Consulta contextual del asistente IA</t>
  </si>
  <si>
    <t>1) Las llamadas del portal se enrutan por el Gateway y las políticas comunes se aplican en ese punto.
2) La verificación debe registrar condición de prueba, resultado esperado y resultado obtenido.
3) El cumplimiento debe quedar respaldado por evidencia reproducible antes de considerarse terminado.</t>
  </si>
  <si>
    <t>Permitir que el asistente utilice información de deuda autorizada para responder preguntas del usuario. Este requisito se enmarca en el área «Asistencia IA de solo lectura» y debe mantenerse coherente con Portal / ms-ai / ms-debt, sin romper el desacoplamiento, la trazabilidad ni los controles definidos por DataBridge.</t>
  </si>
  <si>
    <t>1) La respuesta utiliza únicamente información accesible por la sesión y no expone datos de otra identidad.
2) Debe contemplarse al menos un caso negativo o de borde aplicable al requisito.
3) El cumplimiento debe quedar respaldado por evidencia reproducible antes de considerarse terminado.</t>
  </si>
  <si>
    <t>RNF-30</t>
  </si>
  <si>
    <t>Control CORS centralizado</t>
  </si>
  <si>
    <t>RF-43</t>
  </si>
  <si>
    <t>Bloqueo de operaciones transaccionales desde IA</t>
  </si>
  <si>
    <t>La política CORS debe configurarse de forma controlada en la capa de entrada. Este requisito se enmarca en el área «Portabilidad, arquitectura y seguridad» y debe mantenerse coherente con Docker / Gateway / Microservicios, sin romper el desacoplamiento, la trazabilidad ni los controles definidos por DataBridge.</t>
  </si>
  <si>
    <t>Impedir que el componente de IA autorice o ejecute pagos, cambios de deuda o aceptación de repactaciones. Este requisito se enmarca en el área «Asistencia IA de solo lectura» y debe mantenerse coherente con Portal / ms-ai / ms-debt, sin romper el desacoplamiento, la trazabilidad ni los controles definidos por DataBridge.</t>
  </si>
  <si>
    <t>1) Intentos de escritura desde el flujo de IA no producen cambios en datos transaccionales.
2) Debe contemplarse al menos un caso negativo o de borde aplicable al requisito.
3) El cumplimiento debe quedar respaldado por evidencia reproducible antes de considerarse terminado.</t>
  </si>
  <si>
    <t>1) Orígenes no permitidos son rechazados y los orígenes habilitados funcionan según configuración.
2) La verificación debe registrar condición de prueba, resultado esperado y resultado obtenido.
3) El cumplimiento debe quedar respaldado por evidencia reproducible antes de considerarse terminado.</t>
  </si>
  <si>
    <t>RF-44</t>
  </si>
  <si>
    <t>RNF-31</t>
  </si>
  <si>
    <t>Enrutamiento centralizado por Gateway</t>
  </si>
  <si>
    <t>Rate limiting</t>
  </si>
  <si>
    <t>Spring Cloud Gateway</t>
  </si>
  <si>
    <t>Seguridad y rendimiento</t>
  </si>
  <si>
    <t>Centralizar el acceso del portal a los microservicios mediante Spring Cloud Gateway. Este requisito se enmarca en el área «Acceso y control de entrada» y debe mantenerse coherente con Spring Cloud Gateway, sin romper el desacoplamiento, la trazabilidad ni los controles definidos por DataBridge.</t>
  </si>
  <si>
    <t>1) Las rutas definidas alcanzan el servicio correcto y los servicios protegidos no dependen de rutas alternativas del portal.
2) Debe contemplarse al menos un caso negativo o de borde aplicable al requisito.
3) El cumplimiento debe quedar respaldado por evidencia reproducible antes de considerarse terminado.</t>
  </si>
  <si>
    <t>La puerta de entrada debe limitar solicitudes abusivas según reglas configuradas. Este requisito se enmarca en el área «Portabilidad, arquitectura y seguridad» y debe mantenerse coherente con Docker / Gateway / Microservicios, sin romper el desacoplamiento, la trazabilidad ni los controles definidos por DataBridge.</t>
  </si>
  <si>
    <t>1) Al exceder el umbral configurado, el Gateway limita solicitudes sin afectar permanentemente el servicio.
2) La verificación debe registrar condición de prueba, resultado esperado y resultado obtenido.
3) El cumplimiento debe quedar respaldado por evidencia reproducible antes de considerarse terminado.</t>
  </si>
  <si>
    <t>RF-45</t>
  </si>
  <si>
    <t>Aplicación de control de acceso en Gateway</t>
  </si>
  <si>
    <t>Reporte k6 o equivalente con escenario, carga, duración, p95, error rate y condiciones.</t>
  </si>
  <si>
    <t>RNF-32</t>
  </si>
  <si>
    <t>Umbrales de rendimiento definidos antes de prueba</t>
  </si>
  <si>
    <t>Rendimiento</t>
  </si>
  <si>
    <t>Aplicar controles de autenticación, CORS y limitación de solicitudes en la puerta de entrada cuando corresponda. Este requisito se enmarca en el área «Acceso y control de entrada» y debe mantenerse coherente con Spring Cloud Gateway, sin romper el desacoplamiento, la trazabilidad ni los controles definidos por DataBridge.</t>
  </si>
  <si>
    <t>QA / CI / Entornos de prueba</t>
  </si>
  <si>
    <t>1) Solicitudes no autorizadas o que incumplen las reglas configuradas son bloqueadas antes de acceder al recurso protegido.
2) Debe contemplarse al menos un caso negativo o de borde aplicable al requisito.
3) El cumplimiento debe quedar respaldado por evidencia reproducible antes de considerarse terminado.</t>
  </si>
  <si>
    <t>RF-44, RNF-30/RNF-31</t>
  </si>
  <si>
    <t>Cada prueba de carga debe declarar previamente sus umbrales y condiciones, sin inventar resultados. Este requisito se enmarca en el área «Rendimiento y calidad» y debe mantenerse coherente con QA / CI / Entornos de prueba, sin romper el desacoplamiento, la trazabilidad ni los controles definidos por DataBridge.</t>
  </si>
  <si>
    <t>RF-46</t>
  </si>
  <si>
    <t>1) El caso de prueba registra escenario, carga, duración y umbrales antes de la ejecución.
2) La verificación debe registrar condición de prueba, resultado esperado y resultado obtenido.
3) El cumplimiento debe quedar respaldado por evidencia reproducible antes de considerarse terminado.</t>
  </si>
  <si>
    <t>Comunicación de pago confirmado mediante mensajería</t>
  </si>
  <si>
    <t>Todos los RF críticos y pipeline de pruebas.</t>
  </si>
  <si>
    <t>RabbitMQ / ms-payments / ms-debt</t>
  </si>
  <si>
    <t>CU-05 / CU-13</t>
  </si>
  <si>
    <t>RNF-33</t>
  </si>
  <si>
    <t>Utilizar RabbitMQ para apoyar la entrega asíncrona de eventos de pago confirmado definidos por la arquitectura. Este requisito se enmarca en el área «Mensajería de pagos» y debe mantenerse coherente con RabbitMQ / ms-payments / ms-debt, sin romper el desacoplamiento, la trazabilidad ni los controles definidos por DataBridge.</t>
  </si>
  <si>
    <t>Registro de p95 y tasa de errores</t>
  </si>
  <si>
    <t>1) Un pago confirmado publica el mensaje esperado y el consumidor procesa el evento sin duplicar el efecto.
2) Debe contemplarse al menos un caso negativo o de borde aplicable al requisito.
3) El cumplimiento debe quedar respaldado por evidencia reproducible antes de considerarse terminado.</t>
  </si>
  <si>
    <t>RF-19, RNF-22</t>
  </si>
  <si>
    <t>RF-47</t>
  </si>
  <si>
    <t>Las pruebas de rendimiento deben registrar al menos percentil 95 de respuesta y tasa de errores. Este requisito se enmarca en el área «Rendimiento y calidad» y debe mantenerse coherente con QA / CI / Entornos de prueba, sin romper el desacoplamiento, la trazabilidad ni los controles definidos por DataBridge.</t>
  </si>
  <si>
    <t>Consulta de valor o conversión UF</t>
  </si>
  <si>
    <t>1) El reporte de prueba contiene p95, error rate y condiciones de ejecución reproducibles.
2) La verificación debe registrar condición de prueba, resultado esperado y resultado obtenido.
3) El cumplimiento debe quedar respaldado por evidencia reproducible antes de considerarse terminado.</t>
  </si>
  <si>
    <t>ms-payments</t>
  </si>
  <si>
    <t>Gestionar la obtención o conversión de valor UF cuando el flujo de pagos o deuda lo requiera. Este requisito se enmarca en el área «Conversión y cálculo de pago» y debe mantenerse coherente con ms-payments, sin romper el desacoplamiento, la trazabilidad ni los controles definidos por DataBridge.</t>
  </si>
  <si>
    <t>RNF-34</t>
  </si>
  <si>
    <t>Pruebas unitarias automatizadas</t>
  </si>
  <si>
    <t>1) La conversión utiliza un valor configurado/obtenido por el servicio y registra el valor aplicado a la operación.
2) Debe contemplarse al menos un caso negativo o de borde aplicable al requisito.
3) El cumplimiento debe quedar respaldado por evidencia reproducible antes de considerarse terminado.</t>
  </si>
  <si>
    <t>Calidad</t>
  </si>
  <si>
    <t>RF-48</t>
  </si>
  <si>
    <t>Registro trazable de lote</t>
  </si>
  <si>
    <t>Las reglas de negocio relevantes deben contar con pruebas unitarias automatizadas. Este requisito se enmarca en el área «Rendimiento y calidad» y debe mantenerse coherente con QA / CI / Entornos de prueba, sin romper el desacoplamiento, la trazabilidad ni los controles definidos por DataBridge.</t>
  </si>
  <si>
    <t>ms-debt / Integración</t>
  </si>
  <si>
    <t>1) La ejecución automatizada produce resultados trazables para los componentes cubiertos.
2) La verificación debe registrar condición de prueba, resultado esperado y resultado obtenido.
3) El cumplimiento debe quedar respaldado por evidencia reproducible antes de considerarse terminado.</t>
  </si>
  <si>
    <t>Registrar el identificador del lote y su relación con las deudas procesadas. Este requisito se enmarca en el área «Trazabilidad de carga» y debe mantenerse coherente con ms-debt / Integración, sin romper el desacoplamiento, la trazabilidad ni los controles definidos por DataBridge.</t>
  </si>
  <si>
    <t>1) Desde una deuda integrada puede identificarse el lote de origen y su resultado de procesamiento.
2) Debe contemplarse al menos un caso negativo o de borde aplicable al requisito.
3) El cumplimiento debe quedar respaldado por evidencia reproducible antes de considerarse terminado.</t>
  </si>
  <si>
    <t>RF-25/RF-26, RF-30</t>
  </si>
  <si>
    <t>RNF-35</t>
  </si>
  <si>
    <t>Pruebas de integración automatizadas</t>
  </si>
  <si>
    <t>RF-49</t>
  </si>
  <si>
    <t>Consulta de resultado de carga</t>
  </si>
  <si>
    <t>Los flujos entre servicios, base de datos, RabbitMQ o integraciones deben verificarse mediante pruebas de integración cuando corresponda. Este requisito se enmarca en el área «Rendimiento y calidad» y debe mantenerse coherente con QA / CI / Entornos de prueba, sin romper el desacoplamiento, la trazabilidad ni los controles definidos por DataBridge.</t>
  </si>
  <si>
    <t>Permitir revisar el resultado de una carga de cartera, incluyendo registros aceptados y rechazados. Este requisito se enmarca en el área «Trazabilidad de carga» y debe mantenerse coherente con ms-debt / Integración, sin romper el desacoplamiento, la trazabilidad ni los controles definidos por DataBridge.</t>
  </si>
  <si>
    <t>1) Los escenarios definidos ejecutan dependencias reales o controladas y validan el resultado esperado.
2) La verificación debe registrar condición de prueba, resultado esperado y resultado obtenido.
3) El cumplimiento debe quedar respaldado por evidencia reproducible antes de considerarse terminado.</t>
  </si>
  <si>
    <t>1) El resultado informa el lote, totales y detalle de errores sin perder los registros procesados correctamente.
2) Debe contemplarse al menos un caso negativo o de borde aplicable al requisito.
3) El cumplimiento debe quedar respaldado por evidencia reproducible antes de considerarse terminado.</t>
  </si>
  <si>
    <t>Reporte de pruebas/CI + evidencia reproducible + referencia a tarea y requisito.</t>
  </si>
  <si>
    <t>RNF-36</t>
  </si>
  <si>
    <t>RF-50</t>
  </si>
  <si>
    <t>Pruebas de seguridad</t>
  </si>
  <si>
    <t>Actualización del estado de obligaciones tras eventos</t>
  </si>
  <si>
    <t>Calidad y seguridad</t>
  </si>
  <si>
    <t>CU-14</t>
  </si>
  <si>
    <t>Deben existir escenarios de prueba para autenticación, autorización, firmas, rate limiting y validaciones aplicables. Este requisito se enmarca en el área «Rendimiento y calidad» y debe mantenerse coherente con QA / CI / Entornos de prueba, sin romper el desacoplamiento, la trazabilidad ni los controles definidos por DataBridge.</t>
  </si>
  <si>
    <t>Actualizar los estados internos de las obligaciones cuando se confirmen pagos, repactaciones o retiros válidos. Este requisito se enmarca en el área «Sincronización de estados» y debe mantenerse coherente con ms-debt / Integración, sin romper el desacoplamiento, la trazabilidad ni los controles definidos por DataBridge.</t>
  </si>
  <si>
    <t>1) Cada evento válido produce la transición esperada y eventos repetidos no duplican el efecto.
2) Debe contemplarse al menos un caso negativo o de borde aplicable al requisito.
3) El cumplimiento debe quedar respaldado por evidencia reproducible antes de considerarse terminado.</t>
  </si>
  <si>
    <t>1) Cada escenario registra vector, resultado esperado, obtenido y evidencia.
2) La verificación debe registrar condición de prueba, resultado esperado y resultado obtenido.
3) El cumplimiento debe quedar respaldado por evidencia reproducible antes de considerarse terminado.</t>
  </si>
  <si>
    <t>RF-19/RF-13/RF-34</t>
  </si>
  <si>
    <t>RNF-37</t>
  </si>
  <si>
    <t>Pruebas end-to-end trazables</t>
  </si>
  <si>
    <t>Los recorridos principales deben verificarse de extremo a extremo y relacionarse con una deuda/lote identificable. Este requisito se enmarca en el área «Rendimiento y calidad» y debe mantenerse coherente con QA / CI / Entornos de prueba, sin romper el desacoplamiento, la trazabilidad ni los controles definidos por DataBridge.</t>
  </si>
  <si>
    <t>1) La evidencia permite seguir el flujo desde ingreso de cartera hasta actualización posterior de la deuda.
2) La verificación debe registrar condición de prueba, resultado esperado y resultado obtenido.
3) El cumplimiento debe quedar respaldado por evidencia reproducible antes de considerarse terminado.</t>
  </si>
  <si>
    <t>RNF-38</t>
  </si>
  <si>
    <t>Integración continua</t>
  </si>
  <si>
    <t>El repositorio debe ejecutar verificaciones automatizadas en el flujo de integración cuando estén configuradas. Este requisito se enmarca en el área «Rendimiento y calidad» y debe mantenerse coherente con QA / CI / Entornos de prueba, sin romper el desacoplamiento, la trazabilidad ni los controles definidos por DataBridge.</t>
  </si>
  <si>
    <t>1) El pipeline disponible ejecuta las pruebas definidas y deja un resultado verificable por cambio integrado.
2) La verificación debe registrar condición de prueba, resultado esperado y resultado obtenido.
3) El cumplimiento debe quedar respaldado por evidencia reproducible antes de considerarse terminado.</t>
  </si>
  <si>
    <t>RNF-39</t>
  </si>
  <si>
    <t>Documentación de APIs</t>
  </si>
  <si>
    <t>Documentación</t>
  </si>
  <si>
    <t>Documentación / Repositorio</t>
  </si>
  <si>
    <t>Los endpoints y contratos relevantes deben mantenerse documentados y sincronizados con la implementación. Este requisito se enmarca en el área «Documentación técnica» y debe mantenerse coherente con Documentación / Repositorio, sin romper el desacoplamiento, la trazabilidad ni los controles definidos por DataBridge.</t>
  </si>
  <si>
    <t>1) La documentación describe rutas, autenticación, entradas y respuestas vigentes sin contradicciones conocidas con el código.
2) La verificación debe registrar condición de prueba, resultado esperado y resultado obtenido.
3) El cumplimiento debe quedar respaldado por evidencia reproducible antes de considerarse terminado.</t>
  </si>
  <si>
    <t>Arquitectura, APIs, modelos, README y repositorio vigente.</t>
  </si>
  <si>
    <t>RNF-40</t>
  </si>
  <si>
    <t>README reproducible</t>
  </si>
  <si>
    <t>El README debe explicar instalación, variables, ejecución y componentes necesarios para reproducir el entorno. Este requisito se enmarca en el área «Documentación técnica» y debe mantenerse coherente con Documentación / Repositorio, sin romper el desacoplamiento, la trazabilidad ni los controles definidos por DataBridge.</t>
  </si>
  <si>
    <t>1) Un integrante puede seguir el README desde un entorno limpio sin depender de instrucciones no documentadas.
2) La verificación debe registrar condición de prueba, resultado esperado y resultado obtenido.
3) El cumplimiento debe quedar respaldado por evidencia reproducible antes de considerarse terminado.</t>
  </si>
  <si>
    <t>RNF-41</t>
  </si>
  <si>
    <t>Documentación de arquitectura</t>
  </si>
  <si>
    <t>La arquitectura documentada debe reflejar portal, Gateway, microservicios, persistencia, RabbitMQ e integraciones externas vigentes. Este requisito se enmarca en el área «Documentación técnica» y debe mantenerse coherente con Documentación / Repositorio, sin romper el desacoplamiento, la trazabilidad ni los controles definidos por DataBridge.</t>
  </si>
  <si>
    <t>1) El diagrama y la explicación coinciden con los componentes implementados o marcan explícitamente lo pendiente.
2) La verificación debe registrar condición de prueba, resultado esperado y resultado obtenido.
3) El cumplimiento debe quedar respaldado por evidencia reproducible antes de considerarse terminado.</t>
  </si>
  <si>
    <t>RNF-42</t>
  </si>
  <si>
    <t>Documentación UML actualizada</t>
  </si>
  <si>
    <t>Los diagramas UML requeridos deben mantenerse alineados con los flujos y componentes actuales. Este requisito se enmarca en el área «Documentación técnica» y debe mantenerse coherente con Documentación / Repositorio, sin romper el desacoplamiento, la trazabilidad ni los controles definidos por DataBridge.</t>
  </si>
  <si>
    <t>1) Casos de uso, secuencias y componentes no contradicen la implementación documentada.
2) La verificación debe registrar condición de prueba, resultado esperado y resultado obtenido.
3) El cumplimiento debe quedar respaldado por evidencia reproducible antes de considerarse terminado.</t>
  </si>
  <si>
    <t>RNF-43</t>
  </si>
  <si>
    <t>Trazabilidad requisito-tarea-prueba-evidencia</t>
  </si>
  <si>
    <t>Trazabilidad</t>
  </si>
  <si>
    <t>Integración / Datos / Eventos</t>
  </si>
  <si>
    <t>Cada requisito importante debe poder vincularse con tarea, implementación, prueba, evidencia y estado. Este requisito se enmarca en el área «Trazabilidad» y debe mantenerse coherente con Integración / Datos / Eventos, sin romper el desacoplamiento, la trazabilidad ni los controles definidos por DataBridge.</t>
  </si>
  <si>
    <t>1) La matriz de trazabilidad contiene referencias verificables para los requisitos priorizados.
2) La verificación debe registrar condición de prueba, resultado esperado y resultado obtenido.
3) El cumplimiento debe quedar respaldado por evidencia reproducible antes de considerarse terminado.</t>
  </si>
  <si>
    <t>RF-25 a RF-38, RUT/lote/identificador externo.</t>
  </si>
  <si>
    <t>RNF-44</t>
  </si>
  <si>
    <t>Registro trazable por RUT, lote e identificador externo</t>
  </si>
  <si>
    <t>Una deuda debe poder seguirse entre sistemas usando RUT, lote e identificador externo, respetando minimización de datos. Este requisito se enmarca en el área «Trazabilidad» y debe mantenerse coherente con Integración / Datos / Eventos, sin romper el desacoplamiento, la trazabilidad ni los controles definidos por DataBridge.</t>
  </si>
  <si>
    <t>1) Un caso extremo a extremo permite correlacionar la deuda sin depender de una clave primaria compartida.
2) La verificación debe registrar condición de prueba, resultado esperado y resultado obtenido.
3) El cumplimiento debe quedar respaldado por evidencia reproducible antes de considerarse terminado.</t>
  </si>
  <si>
    <t>RNF-45</t>
  </si>
  <si>
    <t>Logs útiles sin exposición de secretos</t>
  </si>
  <si>
    <t>Observabilidad y seguridad</t>
  </si>
  <si>
    <t>Observabilidad / Logs</t>
  </si>
  <si>
    <t>Los registros técnicos deben permitir diagnóstico sin imprimir códigos, tokens, secretos o credenciales sensibles. Este requisito se enmarca en el área «Observabilidad y seguridad» y debe mantenerse coherente con Observabilidad / Logs, sin romper el desacoplamiento, la trazabilidad ni los controles definidos por DataBridge.</t>
  </si>
  <si>
    <t>1) La revisión de logs de autenticación, pagos e integración no expone secretos y conserva identificadores técnicos útiles.
2) La verificación debe registrar condición de prueba, resultado esperado y resultado obtenido.
3) El cumplimiento debe quedar respaldado por evidencia reproducible antes de considerarse terminado.</t>
  </si>
  <si>
    <t>Flujos de autenticación, pagos e integración.</t>
  </si>
  <si>
    <t>RNF-46</t>
  </si>
  <si>
    <t>Manejo consistente de errores</t>
  </si>
  <si>
    <t>Usabilidad y mantenibilidad</t>
  </si>
  <si>
    <t>APIs / Servicios</t>
  </si>
  <si>
    <t>Las APIs deben responder errores de forma consistente y comprensible para facilitar integración y diagnóstico. Este requisito se enmarca en el área «Mantenibilidad y manejo de errores» y debe mantenerse coherente con APIs / Servicios, sin romper el desacoplamiento, la trazabilidad ni los controles definidos por DataBridge.</t>
  </si>
  <si>
    <t>1) Errores de validación, autorización e integración usan estructura coherente y códigos HTTP apropiados.
2) La verificación debe registrar condición de prueba, resultado esperado y resultado obtenido.
3) El cumplimiento debe quedar respaldado por evidencia reproducible antes de considerarse terminado.</t>
  </si>
  <si>
    <t>APIs y microservicios expuestos por Gateway.</t>
  </si>
  <si>
    <t>RNF-47</t>
  </si>
  <si>
    <t>Compatibilidad de evolución de contratos</t>
  </si>
  <si>
    <t>APIs / Contratos</t>
  </si>
  <si>
    <t>Los cambios de contratos versionados deben preservar compatibilidad cuando sea posible o introducir una nueva versión. Este requisito se enmarca en el área «Compatibilidad e interoperabilidad» y debe mantenerse coherente con APIs / Contratos, sin romper el desacoplamiento, la trazabilidad ni los controles definidos por DataBridge.</t>
  </si>
  <si>
    <t>1) Una modificación incompatible no reemplaza silenciosamente la versión consumida por integradores existentes.
2) La verificación debe registrar condición de prueba, resultado esperado y resultado obtenido.
3) El cumplimiento debe quedar respaldado por evidencia reproducible antes de considerarse terminado.</t>
  </si>
  <si>
    <t>Contratos versionados e integradores existentes.</t>
  </si>
  <si>
    <t>RNF-48</t>
  </si>
  <si>
    <t>Escalabilidad por servicio</t>
  </si>
  <si>
    <t>Escalabilidad</t>
  </si>
  <si>
    <t>Microservicios / Despliegue</t>
  </si>
  <si>
    <t>La arquitectura debe permitir evolucionar o desplegar servicios sin exigir un despliegue monolítico único. Este requisito se enmarca en el área «Escalabilidad» y debe mantenerse coherente con Microservicios / Despliegue, sin romper el desacoplamiento, la trazabilidad ni los controles definidos por DataBridge.</t>
  </si>
  <si>
    <t>1) Los servicios se encuentran desacoplados a nivel de despliegue y no requieren una base de datos común para escalar.
2) La verificación debe registrar condición de prueba, resultado esperado y resultado obtenido.
3) El cumplimiento debe quedar respaldado por evidencia reproducible antes de considerarse terminado.</t>
  </si>
  <si>
    <t>Arquitectura de microservicios y persistencia separada.</t>
  </si>
  <si>
    <t>RNF-49</t>
  </si>
  <si>
    <t>Recuperación ante reinicio de componentes</t>
  </si>
  <si>
    <t>Servicios / Persistencia / Mensajería</t>
  </si>
  <si>
    <t>Los procesos críticos persistidos deben poder continuar o recuperarse después de reiniciar un componente. Este requisito se enmarca en el área «Resiliencia» y debe mantenerse coherente con Servicios / Persistencia / Mensajería, sin romper el desacoplamiento, la trazabilidad ni los controles definidos por DataBridge.</t>
  </si>
  <si>
    <t>1) Tras reiniciar el servicio durante un flujo con evento persistido, el sistema conserva el estado necesario para continuar o reintentar.
2) La verificación debe registrar condición de prueba, resultado esperado y resultado obtenido.
3) El cumplimiento debe quedar respaldado por evidencia reproducible antes de considerarse terminado.</t>
  </si>
  <si>
    <t>Outbox, persistencia y mensajería.</t>
  </si>
  <si>
    <t>RNF-50</t>
  </si>
  <si>
    <t>Definition of Done verificable</t>
  </si>
  <si>
    <t>Proceso y calidad</t>
  </si>
  <si>
    <t>Proceso Scrumban / QA / Documentación</t>
  </si>
  <si>
    <t>Una funcionalidad solo debe declararse terminada cuando cumpla criterios de aceptación, pruebas, documentación y evidencia aplicables. Este requisito se enmarca en el área «Proceso y calidad» y debe mantenerse coherente con Proceso Scrumban / QA / Documentación, sin romper el desacoplamiento, la trazabilidad ni los controles definidos por DataBridge.</t>
  </si>
  <si>
    <t>1) Los elementos marcados como terminados disponen de evidencia conforme a la Definition of Done del equipo.
2) La verificación debe registrar condición de prueba, resultado esperado y resultado obtenido.
3) El cumplimiento debe quedar respaldado por evidencia reproducible antes de considerarse terminado.</t>
  </si>
  <si>
    <t>Definition of Done, backlog Scrumban, pruebas y documentación.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</si>
</sst>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b/>
      <sz val="10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b/>
      <sz val="16.0"/>
      <color rgb="FFFFFFFF"/>
      <name val="Carlito"/>
    </font>
    <font>
      <i/>
      <sz val="11.0"/>
      <color rgb="FF1F1F1F"/>
      <name val="Carlito"/>
    </font>
    <font>
      <b/>
      <sz val="12.0"/>
      <color theme="1"/>
      <name val="Carlito"/>
    </font>
    <font>
      <b/>
      <sz val="12.0"/>
      <color rgb="FFFFFF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theme="6"/>
        <bgColor theme="6"/>
      </patternFill>
    </fill>
    <fill>
      <patternFill patternType="solid">
        <fgColor rgb="FFD9EAF7"/>
        <bgColor rgb="FFD9EAF7"/>
      </patternFill>
    </fill>
    <fill>
      <patternFill patternType="solid">
        <fgColor rgb="FFEAF2F8"/>
        <bgColor rgb="FFEAF2F8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4D94D8"/>
      </left>
      <right style="thin">
        <color rgb="FF4D94D8"/>
      </right>
      <top style="thin">
        <color rgb="FF4D94D8"/>
      </top>
      <bottom style="thin">
        <color rgb="FF4D94D8"/>
      </bottom>
    </border>
    <border>
      <left style="thin">
        <color rgb="FF47D45A"/>
      </left>
      <right style="thin">
        <color rgb="FF47D45A"/>
      </right>
      <top style="thin">
        <color rgb="FF47D45A"/>
      </top>
      <bottom style="thin">
        <color rgb="FF47D45A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bottom style="thin">
        <color rgb="FF47D45A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4" fillId="2" fontId="3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shrinkToFit="0" vertical="top" wrapText="1"/>
    </xf>
    <xf borderId="6" fillId="0" fontId="4" numFmtId="0" xfId="0" applyAlignment="1" applyBorder="1" applyFont="1">
      <alignment shrinkToFit="0" vertical="top" wrapText="1"/>
    </xf>
    <xf borderId="5" fillId="0" fontId="5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vertical="top"/>
    </xf>
    <xf borderId="6" fillId="0" fontId="4" numFmtId="0" xfId="0" applyAlignment="1" applyBorder="1" applyFont="1">
      <alignment horizontal="center" shrinkToFit="0" vertical="center" wrapText="1"/>
    </xf>
    <xf borderId="1" fillId="4" fontId="7" numFmtId="0" xfId="0" applyAlignment="1" applyBorder="1" applyFill="1" applyFont="1">
      <alignment shrinkToFit="0" vertical="top" wrapText="1"/>
    </xf>
    <xf borderId="4" fillId="2" fontId="3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7" fillId="0" fontId="5" numFmtId="0" xfId="0" applyAlignment="1" applyBorder="1" applyFont="1">
      <alignment vertical="top"/>
    </xf>
    <xf borderId="7" fillId="0" fontId="8" numFmtId="0" xfId="0" applyAlignment="1" applyBorder="1" applyFont="1">
      <alignment horizontal="center" vertical="top"/>
    </xf>
    <xf borderId="7" fillId="0" fontId="4" numFmtId="0" xfId="0" applyAlignment="1" applyBorder="1" applyFont="1">
      <alignment vertical="top"/>
    </xf>
    <xf borderId="1" fillId="2" fontId="9" numFmtId="0" xfId="0" applyAlignment="1" applyBorder="1" applyFill="1" applyFont="1">
      <alignment horizontal="left" vertical="top"/>
    </xf>
    <xf borderId="4" fillId="5" fontId="5" numFmtId="0" xfId="0" applyAlignment="1" applyBorder="1" applyFill="1" applyFont="1">
      <alignment shrinkToFit="0" vertical="top" wrapText="1"/>
    </xf>
    <xf borderId="8" fillId="0" fontId="4" numFmtId="0" xfId="0" applyBorder="1" applyFon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7FBFF"/>
          <bgColor rgb="FFF7FBFF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EAF7"/>
          <bgColor rgb="FFD9EAF7"/>
        </patternFill>
      </fill>
      <border/>
    </dxf>
    <dxf>
      <font/>
      <fill>
        <patternFill patternType="solid">
          <fgColor rgb="FFE6E6E6"/>
          <bgColor rgb="FFE6E6E6"/>
        </patternFill>
      </fill>
      <border/>
    </dxf>
    <dxf>
      <font/>
      <fill>
        <patternFill patternType="solid">
          <fgColor rgb="FFFAFAFA"/>
          <bgColor rgb="FFFAFAFA"/>
        </patternFill>
      </fill>
      <border/>
    </dxf>
  </dxfs>
  <tableStyles count="3">
    <tableStyle count="4" pivot="0" name="Requerimientos 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erimientos N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álog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por estado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Cantidad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Resumen!$D$5:$D$8</c:f>
            </c:strRef>
          </c:cat>
          <c:val>
            <c:numRef>
              <c:f>Resumen!$E$5:$E$8</c:f>
              <c:numCache/>
            </c:numRef>
          </c:val>
        </c:ser>
        <c:axId val="1890560464"/>
        <c:axId val="12697099"/>
      </c:barChart>
      <c:catAx>
        <c:axId val="189056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7099"/>
      </c:catAx>
      <c:valAx>
        <c:axId val="12697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56046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1</xdr:row>
      <xdr:rowOff>133350</xdr:rowOff>
    </xdr:from>
    <xdr:ext cx="6553200" cy="2171700"/>
    <xdr:graphicFrame>
      <xdr:nvGraphicFramePr>
        <xdr:cNvPr id="118525098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51" displayName="RequisitosDataBridge5" name="RequisitosDataBridge5" id="2">
  <tableColumns count="15">
    <tableColumn name="ID" id="1"/>
    <tableColumn name="Nombre del requerimiento" id="2"/>
    <tableColumn name="Tipo" id="3"/>
    <tableColumn name="Clasificación" id="4"/>
    <tableColumn name="Módulo / componente" id="5"/>
    <tableColumn name="Objetivo relacionado" id="6"/>
    <tableColumn name="Caso de uso / alcance" id="7"/>
    <tableColumn name="Actores Technical Bridge" id="8"/>
    <tableColumn name="Descripción / explicación detallada" id="9"/>
    <tableColumn name="Importancia" id="10"/>
    <tableColumn name="Criterios de aceptación" id="11"/>
    <tableColumn name="Dependencias / relaciones" id="12"/>
    <tableColumn name="Evidencia esperada" id="13"/>
    <tableColumn name="Estado" id="14"/>
    <tableColumn name="Observaciones / validación" id="15"/>
  </tableColumns>
  <tableStyleInfo name="Requerimientos NF-style" showColumnStripes="0" showFirstColumn="1" showLastColumn="1" showRowStripes="1"/>
</table>
</file>

<file path=xl/tables/table2.xml><?xml version="1.0" encoding="utf-8"?>
<table xmlns="http://schemas.openxmlformats.org/spreadsheetml/2006/main" ref="A1:O51" displayName="RequisitosDataBridge" name="RequisitosDataBridge" id="1">
  <tableColumns count="15">
    <tableColumn name="ID" id="1"/>
    <tableColumn name="Nombre del requerimiento" id="2"/>
    <tableColumn name="Tipo" id="3"/>
    <tableColumn name="Clasificación" id="4"/>
    <tableColumn name="Módulo / componente" id="5"/>
    <tableColumn name="Objetivo relacionado" id="6"/>
    <tableColumn name="Caso de uso / alcance" id="7"/>
    <tableColumn name="Actores Technical Bridge" id="8"/>
    <tableColumn name="Descripción / explicación detallada" id="9"/>
    <tableColumn name="Importancia" id="10"/>
    <tableColumn name="Criterios de aceptación" id="11"/>
    <tableColumn name="Dependencias / relaciones" id="12"/>
    <tableColumn name="Evidencia esperada" id="13"/>
    <tableColumn name="Estado" id="14"/>
    <tableColumn name="Observaciones / validación" id="15"/>
  </tableColumns>
  <tableStyleInfo name="Requerimientos F-style" showColumnStripes="0" showFirstColumn="1" showLastColumn="1" showRowStripes="1"/>
</table>
</file>

<file path=xl/tables/table3.xml><?xml version="1.0" encoding="utf-8"?>
<table xmlns="http://schemas.openxmlformats.org/spreadsheetml/2006/main" ref="A1:D22" displayName="CatalogosDataBridge" name="CatalogosDataBridge" id="3">
  <tableColumns count="4">
    <tableColumn name="Catálogo" id="1"/>
    <tableColumn name="Valor" id="2"/>
    <tableColumn name="Definición / uso" id="3"/>
    <tableColumn name="Responsable o referencia" id="4"/>
  </tableColumns>
  <tableStyleInfo name="Catálog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3.0"/>
    <col customWidth="1" min="4" max="4" width="18.0"/>
    <col customWidth="1" min="5" max="5" width="14.0"/>
    <col customWidth="1" min="6" max="8" width="16.0"/>
    <col customWidth="1" min="9" max="26" width="9.0"/>
  </cols>
  <sheetData>
    <row r="1" ht="33.75" customHeight="1">
      <c r="A1" s="13" t="s">
        <v>80</v>
      </c>
      <c r="B1" s="2"/>
      <c r="C1" s="2"/>
      <c r="D1" s="2"/>
      <c r="E1" s="2"/>
      <c r="F1" s="2"/>
      <c r="G1" s="2"/>
      <c r="H1" s="3"/>
    </row>
    <row r="2" ht="15.75" customHeight="1">
      <c r="A2" s="15" t="s">
        <v>81</v>
      </c>
      <c r="B2" s="2"/>
      <c r="C2" s="2"/>
      <c r="D2" s="2"/>
      <c r="E2" s="2"/>
      <c r="F2" s="2"/>
      <c r="G2" s="2"/>
      <c r="H2" s="3"/>
    </row>
    <row r="3" ht="14.25" customHeight="1">
      <c r="A3" s="17"/>
      <c r="B3" s="17"/>
      <c r="C3" s="17"/>
      <c r="D3" s="17"/>
      <c r="E3" s="17"/>
      <c r="F3" s="17"/>
      <c r="G3" s="17"/>
      <c r="H3" s="17"/>
    </row>
    <row r="4" ht="14.25" customHeight="1">
      <c r="A4" s="4" t="s">
        <v>90</v>
      </c>
      <c r="B4" s="4" t="s">
        <v>86</v>
      </c>
      <c r="C4" s="17"/>
      <c r="D4" s="4" t="s">
        <v>46</v>
      </c>
      <c r="E4" s="4" t="s">
        <v>91</v>
      </c>
      <c r="F4" s="17"/>
      <c r="G4" s="17"/>
      <c r="H4" s="17"/>
    </row>
    <row r="5" ht="14.25" customHeight="1">
      <c r="A5" s="19" t="s">
        <v>92</v>
      </c>
      <c r="B5" s="20">
        <f>COUNTA('Requerimientos F'!A2:A51)</f>
        <v>50</v>
      </c>
      <c r="C5" s="17"/>
      <c r="D5" s="21" t="s">
        <v>65</v>
      </c>
      <c r="E5" s="21">
        <f>COUNTIF('Requerimientos F'!N2:N51,"Aprobado")</f>
        <v>28</v>
      </c>
      <c r="F5" s="17"/>
      <c r="G5" s="17"/>
      <c r="H5" s="17"/>
    </row>
    <row r="6" ht="14.25" customHeight="1">
      <c r="A6" s="19" t="s">
        <v>110</v>
      </c>
      <c r="B6" s="20">
        <f>COUNTIF('Requerimientos F'!C2:C51,"Funcional")</f>
        <v>50</v>
      </c>
      <c r="C6" s="17"/>
      <c r="D6" s="21" t="s">
        <v>107</v>
      </c>
      <c r="E6" s="21">
        <f>COUNTIF('Requerimientos F'!N2:N51,"Asignado")</f>
        <v>19</v>
      </c>
      <c r="F6" s="17"/>
      <c r="G6" s="17"/>
      <c r="H6" s="17"/>
    </row>
    <row r="7" ht="14.25" customHeight="1">
      <c r="A7" s="19" t="s">
        <v>118</v>
      </c>
      <c r="B7" s="20">
        <f>COUNTIF('Requerimientos F'!C2:C51,"No Funcional")</f>
        <v>0</v>
      </c>
      <c r="C7" s="17"/>
      <c r="D7" s="21" t="s">
        <v>113</v>
      </c>
      <c r="E7" s="21">
        <f>COUNTIF('Requerimientos F'!N2:N51,"Propuesto")</f>
        <v>3</v>
      </c>
      <c r="F7" s="17"/>
      <c r="G7" s="17"/>
      <c r="H7" s="17"/>
    </row>
    <row r="8" ht="14.25" customHeight="1">
      <c r="A8" s="19" t="s">
        <v>128</v>
      </c>
      <c r="B8" s="20">
        <f>COUNTIF('Requerimientos F'!J2:J51,"Alto")</f>
        <v>38</v>
      </c>
      <c r="C8" s="17"/>
      <c r="D8" s="21" t="s">
        <v>115</v>
      </c>
      <c r="E8" s="21">
        <f>COUNTIF('Requerimientos F'!N2:N51,"Diferido")</f>
        <v>0</v>
      </c>
      <c r="F8" s="17"/>
      <c r="G8" s="17"/>
      <c r="H8" s="17"/>
    </row>
    <row r="9" ht="14.25" customHeight="1">
      <c r="A9" s="19" t="s">
        <v>137</v>
      </c>
      <c r="B9" s="20">
        <f>COUNTIF('Requerimientos F'!N2:N51,"Aprobado")</f>
        <v>28</v>
      </c>
      <c r="C9" s="17"/>
      <c r="D9" s="17"/>
      <c r="E9" s="17"/>
      <c r="F9" s="17"/>
      <c r="G9" s="17"/>
      <c r="H9" s="17"/>
    </row>
    <row r="10" ht="14.25" customHeight="1">
      <c r="A10" s="19" t="s">
        <v>142</v>
      </c>
      <c r="B10" s="20">
        <f>COUNTIF('Requerimientos F'!N2:N51,"Asignado")</f>
        <v>19</v>
      </c>
      <c r="C10" s="17"/>
      <c r="D10" s="17"/>
      <c r="E10" s="17"/>
      <c r="F10" s="17"/>
      <c r="G10" s="17"/>
      <c r="H10" s="17"/>
    </row>
    <row r="11" ht="14.25" customHeight="1">
      <c r="A11" s="19" t="s">
        <v>146</v>
      </c>
      <c r="B11" s="20">
        <f>COUNTIF('Requerimientos F'!N2:N51,"Propuesto")</f>
        <v>3</v>
      </c>
      <c r="C11" s="17"/>
      <c r="D11" s="17"/>
      <c r="E11" s="17"/>
      <c r="F11" s="17"/>
      <c r="G11" s="17"/>
      <c r="H11" s="17"/>
    </row>
    <row r="12" ht="14.25" customHeight="1">
      <c r="A12" s="17"/>
      <c r="B12" s="17"/>
      <c r="C12" s="17"/>
      <c r="D12" s="17"/>
      <c r="E12" s="17"/>
      <c r="F12" s="17"/>
      <c r="G12" s="17"/>
      <c r="H12" s="17"/>
    </row>
    <row r="13" ht="14.25" customHeight="1">
      <c r="A13" s="22" t="s">
        <v>152</v>
      </c>
      <c r="B13" s="2"/>
      <c r="C13" s="2"/>
      <c r="D13" s="2"/>
      <c r="E13" s="2"/>
      <c r="F13" s="2"/>
      <c r="G13" s="2"/>
      <c r="H13" s="3"/>
    </row>
    <row r="14" ht="14.25" customHeight="1">
      <c r="A14" s="23" t="s">
        <v>158</v>
      </c>
      <c r="B14" s="5" t="s">
        <v>159</v>
      </c>
      <c r="C14" s="5"/>
      <c r="D14" s="5"/>
      <c r="E14" s="5"/>
      <c r="F14" s="5"/>
      <c r="G14" s="5"/>
      <c r="H14" s="5"/>
    </row>
    <row r="15" ht="14.25" customHeight="1">
      <c r="A15" s="23" t="s">
        <v>46</v>
      </c>
      <c r="B15" s="5" t="s">
        <v>161</v>
      </c>
    </row>
    <row r="16" ht="14.25" customHeight="1">
      <c r="A16" s="23" t="s">
        <v>42</v>
      </c>
      <c r="B16" s="5" t="s">
        <v>163</v>
      </c>
    </row>
    <row r="17" ht="14.25" customHeight="1">
      <c r="A17" s="23" t="s">
        <v>45</v>
      </c>
      <c r="B17" s="5" t="s">
        <v>164</v>
      </c>
    </row>
    <row r="18" ht="14.25" customHeight="1">
      <c r="A18" s="23" t="s">
        <v>166</v>
      </c>
      <c r="B18" s="5" t="s">
        <v>167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2:H2"/>
    <mergeCell ref="A13:H13"/>
    <mergeCell ref="B15:H15"/>
    <mergeCell ref="B16:H16"/>
    <mergeCell ref="B17:H17"/>
    <mergeCell ref="B18:H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30.0"/>
    <col customWidth="1" min="3" max="3" width="15.0"/>
    <col customWidth="1" min="4" max="4" width="24.0"/>
    <col customWidth="1" min="5" max="5" width="31.0"/>
    <col customWidth="1" min="6" max="6" width="17.0"/>
    <col customWidth="1" min="7" max="7" width="20.0"/>
    <col customWidth="1" min="8" max="8" width="38.0"/>
    <col customWidth="1" min="9" max="9" width="62.0"/>
    <col customWidth="1" min="10" max="10" width="13.0"/>
    <col customWidth="1" min="11" max="11" width="62.0"/>
    <col customWidth="1" min="12" max="12" width="30.0"/>
    <col customWidth="1" min="13" max="13" width="48.0"/>
    <col customWidth="1" min="14" max="14" width="14.0"/>
    <col customWidth="1" min="15" max="15" width="46.0"/>
    <col customWidth="1" min="16" max="26" width="9.0"/>
  </cols>
  <sheetData>
    <row r="1" ht="42.0" customHeight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7" t="s">
        <v>46</v>
      </c>
      <c r="O1" s="7" t="s">
        <v>47</v>
      </c>
    </row>
    <row r="2" ht="14.25" customHeight="1">
      <c r="A2" s="9" t="s">
        <v>53</v>
      </c>
      <c r="B2" s="9" t="s">
        <v>58</v>
      </c>
      <c r="C2" s="9" t="s">
        <v>62</v>
      </c>
      <c r="D2" s="9" t="s">
        <v>64</v>
      </c>
      <c r="E2" s="9" t="s">
        <v>66</v>
      </c>
      <c r="F2" s="9" t="s">
        <v>54</v>
      </c>
      <c r="G2" s="9" t="s">
        <v>70</v>
      </c>
      <c r="H2" s="9" t="s">
        <v>56</v>
      </c>
      <c r="I2" s="9" t="s">
        <v>72</v>
      </c>
      <c r="J2" s="12" t="s">
        <v>59</v>
      </c>
      <c r="K2" s="9" t="s">
        <v>77</v>
      </c>
      <c r="L2" s="9" t="s">
        <v>79</v>
      </c>
      <c r="M2" s="9" t="s">
        <v>63</v>
      </c>
      <c r="N2" s="14" t="s">
        <v>65</v>
      </c>
      <c r="O2" s="9" t="s">
        <v>67</v>
      </c>
    </row>
    <row r="3" ht="14.25" customHeight="1">
      <c r="A3" s="9" t="s">
        <v>84</v>
      </c>
      <c r="B3" s="9" t="s">
        <v>87</v>
      </c>
      <c r="C3" s="9" t="s">
        <v>62</v>
      </c>
      <c r="D3" s="9" t="s">
        <v>64</v>
      </c>
      <c r="E3" s="9" t="s">
        <v>66</v>
      </c>
      <c r="F3" s="9" t="s">
        <v>54</v>
      </c>
      <c r="G3" s="9" t="s">
        <v>70</v>
      </c>
      <c r="H3" s="9" t="s">
        <v>56</v>
      </c>
      <c r="I3" s="9" t="s">
        <v>100</v>
      </c>
      <c r="J3" s="12" t="s">
        <v>59</v>
      </c>
      <c r="K3" s="9" t="s">
        <v>105</v>
      </c>
      <c r="L3" s="9" t="s">
        <v>79</v>
      </c>
      <c r="M3" s="9" t="s">
        <v>63</v>
      </c>
      <c r="N3" s="14" t="s">
        <v>65</v>
      </c>
      <c r="O3" s="9" t="s">
        <v>67</v>
      </c>
    </row>
    <row r="4" ht="14.25" customHeight="1">
      <c r="A4" s="9" t="s">
        <v>117</v>
      </c>
      <c r="B4" s="9" t="s">
        <v>120</v>
      </c>
      <c r="C4" s="9" t="s">
        <v>62</v>
      </c>
      <c r="D4" s="9" t="s">
        <v>64</v>
      </c>
      <c r="E4" s="9" t="s">
        <v>66</v>
      </c>
      <c r="F4" s="9" t="s">
        <v>54</v>
      </c>
      <c r="G4" s="9" t="s">
        <v>70</v>
      </c>
      <c r="H4" s="9" t="s">
        <v>56</v>
      </c>
      <c r="I4" s="9" t="s">
        <v>132</v>
      </c>
      <c r="J4" s="12" t="s">
        <v>59</v>
      </c>
      <c r="K4" s="9" t="s">
        <v>136</v>
      </c>
      <c r="L4" s="9" t="s">
        <v>79</v>
      </c>
      <c r="M4" s="9" t="s">
        <v>63</v>
      </c>
      <c r="N4" s="14" t="s">
        <v>65</v>
      </c>
      <c r="O4" s="9" t="s">
        <v>67</v>
      </c>
    </row>
    <row r="5" ht="14.25" customHeight="1">
      <c r="A5" s="9" t="s">
        <v>151</v>
      </c>
      <c r="B5" s="9" t="s">
        <v>154</v>
      </c>
      <c r="C5" s="9" t="s">
        <v>62</v>
      </c>
      <c r="D5" s="9" t="s">
        <v>64</v>
      </c>
      <c r="E5" s="9" t="s">
        <v>66</v>
      </c>
      <c r="F5" s="9" t="s">
        <v>54</v>
      </c>
      <c r="G5" s="9" t="s">
        <v>70</v>
      </c>
      <c r="H5" s="9" t="s">
        <v>56</v>
      </c>
      <c r="I5" s="9" t="s">
        <v>171</v>
      </c>
      <c r="J5" s="12" t="s">
        <v>59</v>
      </c>
      <c r="K5" s="9" t="s">
        <v>173</v>
      </c>
      <c r="L5" s="9" t="s">
        <v>79</v>
      </c>
      <c r="M5" s="9" t="s">
        <v>63</v>
      </c>
      <c r="N5" s="14" t="s">
        <v>65</v>
      </c>
      <c r="O5" s="9" t="s">
        <v>67</v>
      </c>
    </row>
    <row r="6" ht="14.25" customHeight="1">
      <c r="A6" s="9" t="s">
        <v>182</v>
      </c>
      <c r="B6" s="9" t="s">
        <v>184</v>
      </c>
      <c r="C6" s="9" t="s">
        <v>62</v>
      </c>
      <c r="D6" s="9" t="s">
        <v>64</v>
      </c>
      <c r="E6" s="9" t="s">
        <v>66</v>
      </c>
      <c r="F6" s="9" t="s">
        <v>54</v>
      </c>
      <c r="G6" s="9" t="s">
        <v>70</v>
      </c>
      <c r="H6" s="9" t="s">
        <v>56</v>
      </c>
      <c r="I6" s="9" t="s">
        <v>193</v>
      </c>
      <c r="J6" s="12" t="s">
        <v>59</v>
      </c>
      <c r="K6" s="9" t="s">
        <v>194</v>
      </c>
      <c r="L6" s="9" t="s">
        <v>79</v>
      </c>
      <c r="M6" s="9" t="s">
        <v>63</v>
      </c>
      <c r="N6" s="14" t="s">
        <v>107</v>
      </c>
      <c r="O6" s="9" t="s">
        <v>129</v>
      </c>
    </row>
    <row r="7" ht="14.25" customHeight="1">
      <c r="A7" s="9" t="s">
        <v>198</v>
      </c>
      <c r="B7" s="9" t="s">
        <v>200</v>
      </c>
      <c r="C7" s="9" t="s">
        <v>62</v>
      </c>
      <c r="D7" s="9" t="s">
        <v>64</v>
      </c>
      <c r="E7" s="9" t="s">
        <v>66</v>
      </c>
      <c r="F7" s="9" t="s">
        <v>54</v>
      </c>
      <c r="G7" s="9" t="s">
        <v>70</v>
      </c>
      <c r="H7" s="9" t="s">
        <v>56</v>
      </c>
      <c r="I7" s="9" t="s">
        <v>205</v>
      </c>
      <c r="J7" s="12" t="s">
        <v>59</v>
      </c>
      <c r="K7" s="9" t="s">
        <v>208</v>
      </c>
      <c r="L7" s="9" t="s">
        <v>79</v>
      </c>
      <c r="M7" s="9" t="s">
        <v>210</v>
      </c>
      <c r="N7" s="14" t="s">
        <v>65</v>
      </c>
      <c r="O7" s="9" t="s">
        <v>67</v>
      </c>
    </row>
    <row r="8" ht="14.25" customHeight="1">
      <c r="A8" s="9" t="s">
        <v>213</v>
      </c>
      <c r="B8" s="9" t="s">
        <v>214</v>
      </c>
      <c r="C8" s="9" t="s">
        <v>62</v>
      </c>
      <c r="D8" s="9" t="s">
        <v>64</v>
      </c>
      <c r="E8" s="9" t="s">
        <v>66</v>
      </c>
      <c r="F8" s="9" t="s">
        <v>54</v>
      </c>
      <c r="G8" s="9" t="s">
        <v>70</v>
      </c>
      <c r="H8" s="9" t="s">
        <v>56</v>
      </c>
      <c r="I8" s="9" t="s">
        <v>217</v>
      </c>
      <c r="J8" s="12" t="s">
        <v>59</v>
      </c>
      <c r="K8" s="9" t="s">
        <v>220</v>
      </c>
      <c r="L8" s="9" t="s">
        <v>79</v>
      </c>
      <c r="M8" s="9" t="s">
        <v>210</v>
      </c>
      <c r="N8" s="14" t="s">
        <v>107</v>
      </c>
      <c r="O8" s="9" t="s">
        <v>129</v>
      </c>
    </row>
    <row r="9" ht="14.25" customHeight="1">
      <c r="A9" s="9" t="s">
        <v>225</v>
      </c>
      <c r="B9" s="9" t="s">
        <v>226</v>
      </c>
      <c r="C9" s="9" t="s">
        <v>62</v>
      </c>
      <c r="D9" s="9" t="s">
        <v>229</v>
      </c>
      <c r="E9" s="9" t="s">
        <v>66</v>
      </c>
      <c r="F9" s="9" t="s">
        <v>168</v>
      </c>
      <c r="G9" s="9" t="s">
        <v>70</v>
      </c>
      <c r="H9" s="9" t="s">
        <v>56</v>
      </c>
      <c r="I9" s="9" t="s">
        <v>232</v>
      </c>
      <c r="J9" s="12" t="s">
        <v>59</v>
      </c>
      <c r="K9" s="9" t="s">
        <v>234</v>
      </c>
      <c r="L9" s="9" t="s">
        <v>236</v>
      </c>
      <c r="M9" s="9" t="s">
        <v>210</v>
      </c>
      <c r="N9" s="14" t="s">
        <v>65</v>
      </c>
      <c r="O9" s="9" t="s">
        <v>67</v>
      </c>
    </row>
    <row r="10" ht="14.25" customHeight="1">
      <c r="A10" s="9" t="s">
        <v>242</v>
      </c>
      <c r="B10" s="9" t="s">
        <v>243</v>
      </c>
      <c r="C10" s="9" t="s">
        <v>62</v>
      </c>
      <c r="D10" s="9" t="s">
        <v>245</v>
      </c>
      <c r="E10" s="9" t="s">
        <v>66</v>
      </c>
      <c r="F10" s="9" t="s">
        <v>168</v>
      </c>
      <c r="G10" s="9" t="s">
        <v>70</v>
      </c>
      <c r="H10" s="9" t="s">
        <v>73</v>
      </c>
      <c r="I10" s="9" t="s">
        <v>249</v>
      </c>
      <c r="J10" s="12" t="s">
        <v>59</v>
      </c>
      <c r="K10" s="9" t="s">
        <v>252</v>
      </c>
      <c r="L10" s="9" t="s">
        <v>236</v>
      </c>
      <c r="M10" s="9" t="s">
        <v>255</v>
      </c>
      <c r="N10" s="14" t="s">
        <v>107</v>
      </c>
      <c r="O10" s="9" t="s">
        <v>129</v>
      </c>
    </row>
    <row r="11" ht="14.25" customHeight="1">
      <c r="A11" s="9" t="s">
        <v>258</v>
      </c>
      <c r="B11" s="9" t="s">
        <v>259</v>
      </c>
      <c r="C11" s="9" t="s">
        <v>62</v>
      </c>
      <c r="D11" s="9" t="s">
        <v>261</v>
      </c>
      <c r="E11" s="9" t="s">
        <v>66</v>
      </c>
      <c r="F11" s="9" t="s">
        <v>168</v>
      </c>
      <c r="G11" s="9" t="s">
        <v>70</v>
      </c>
      <c r="H11" s="9" t="s">
        <v>56</v>
      </c>
      <c r="I11" s="9" t="s">
        <v>266</v>
      </c>
      <c r="J11" s="12" t="s">
        <v>59</v>
      </c>
      <c r="K11" s="9" t="s">
        <v>267</v>
      </c>
      <c r="L11" s="9" t="s">
        <v>236</v>
      </c>
      <c r="M11" s="9" t="s">
        <v>255</v>
      </c>
      <c r="N11" s="14" t="s">
        <v>65</v>
      </c>
      <c r="O11" s="9" t="s">
        <v>67</v>
      </c>
    </row>
    <row r="12" ht="14.25" customHeight="1">
      <c r="A12" s="9" t="s">
        <v>270</v>
      </c>
      <c r="B12" s="9" t="s">
        <v>273</v>
      </c>
      <c r="C12" s="9" t="s">
        <v>62</v>
      </c>
      <c r="D12" s="9" t="s">
        <v>261</v>
      </c>
      <c r="E12" s="9" t="s">
        <v>66</v>
      </c>
      <c r="F12" s="9" t="s">
        <v>168</v>
      </c>
      <c r="G12" s="9" t="s">
        <v>70</v>
      </c>
      <c r="H12" s="9" t="s">
        <v>56</v>
      </c>
      <c r="I12" s="9" t="s">
        <v>275</v>
      </c>
      <c r="J12" s="12" t="s">
        <v>59</v>
      </c>
      <c r="K12" s="9" t="s">
        <v>278</v>
      </c>
      <c r="L12" s="9" t="s">
        <v>236</v>
      </c>
      <c r="M12" s="9" t="s">
        <v>255</v>
      </c>
      <c r="N12" s="14" t="s">
        <v>107</v>
      </c>
      <c r="O12" s="9" t="s">
        <v>129</v>
      </c>
    </row>
    <row r="13" ht="14.25" customHeight="1">
      <c r="A13" s="9" t="s">
        <v>281</v>
      </c>
      <c r="B13" s="9" t="s">
        <v>283</v>
      </c>
      <c r="C13" s="9" t="s">
        <v>62</v>
      </c>
      <c r="D13" s="9" t="s">
        <v>261</v>
      </c>
      <c r="E13" s="9" t="s">
        <v>66</v>
      </c>
      <c r="F13" s="9" t="s">
        <v>168</v>
      </c>
      <c r="G13" s="9" t="s">
        <v>70</v>
      </c>
      <c r="H13" s="9" t="s">
        <v>56</v>
      </c>
      <c r="I13" s="9" t="s">
        <v>286</v>
      </c>
      <c r="J13" s="12" t="s">
        <v>59</v>
      </c>
      <c r="K13" s="9" t="s">
        <v>288</v>
      </c>
      <c r="L13" s="9" t="s">
        <v>236</v>
      </c>
      <c r="M13" s="9" t="s">
        <v>255</v>
      </c>
      <c r="N13" s="14" t="s">
        <v>65</v>
      </c>
      <c r="O13" s="9" t="s">
        <v>67</v>
      </c>
    </row>
    <row r="14" ht="14.25" customHeight="1">
      <c r="A14" s="9" t="s">
        <v>290</v>
      </c>
      <c r="B14" s="9" t="s">
        <v>291</v>
      </c>
      <c r="C14" s="9" t="s">
        <v>62</v>
      </c>
      <c r="D14" s="9" t="s">
        <v>294</v>
      </c>
      <c r="E14" s="9" t="s">
        <v>66</v>
      </c>
      <c r="F14" s="9" t="s">
        <v>168</v>
      </c>
      <c r="G14" s="9" t="s">
        <v>70</v>
      </c>
      <c r="H14" s="9" t="s">
        <v>56</v>
      </c>
      <c r="I14" s="9" t="s">
        <v>297</v>
      </c>
      <c r="J14" s="12" t="s">
        <v>59</v>
      </c>
      <c r="K14" s="9" t="s">
        <v>298</v>
      </c>
      <c r="L14" s="9" t="s">
        <v>236</v>
      </c>
      <c r="M14" s="9" t="s">
        <v>299</v>
      </c>
      <c r="N14" s="14" t="s">
        <v>65</v>
      </c>
      <c r="O14" s="9" t="s">
        <v>67</v>
      </c>
    </row>
    <row r="15" ht="14.25" customHeight="1">
      <c r="A15" s="9" t="s">
        <v>303</v>
      </c>
      <c r="B15" s="9" t="s">
        <v>305</v>
      </c>
      <c r="C15" s="9" t="s">
        <v>62</v>
      </c>
      <c r="D15" s="9" t="s">
        <v>294</v>
      </c>
      <c r="E15" s="9" t="s">
        <v>66</v>
      </c>
      <c r="F15" s="9" t="s">
        <v>168</v>
      </c>
      <c r="G15" s="9" t="s">
        <v>70</v>
      </c>
      <c r="H15" s="9" t="s">
        <v>56</v>
      </c>
      <c r="I15" s="9" t="s">
        <v>309</v>
      </c>
      <c r="J15" s="12" t="s">
        <v>59</v>
      </c>
      <c r="K15" s="9" t="s">
        <v>311</v>
      </c>
      <c r="L15" s="9" t="s">
        <v>236</v>
      </c>
      <c r="M15" s="9" t="s">
        <v>254</v>
      </c>
      <c r="N15" s="14" t="s">
        <v>65</v>
      </c>
      <c r="O15" s="9" t="s">
        <v>67</v>
      </c>
    </row>
    <row r="16" ht="14.25" customHeight="1">
      <c r="A16" s="9" t="s">
        <v>314</v>
      </c>
      <c r="B16" s="9" t="s">
        <v>315</v>
      </c>
      <c r="C16" s="9" t="s">
        <v>62</v>
      </c>
      <c r="D16" s="9" t="s">
        <v>317</v>
      </c>
      <c r="E16" s="9" t="s">
        <v>319</v>
      </c>
      <c r="F16" s="9" t="s">
        <v>172</v>
      </c>
      <c r="G16" s="9" t="s">
        <v>70</v>
      </c>
      <c r="H16" s="9" t="s">
        <v>321</v>
      </c>
      <c r="I16" s="9" t="s">
        <v>323</v>
      </c>
      <c r="J16" s="12" t="s">
        <v>59</v>
      </c>
      <c r="K16" s="9" t="s">
        <v>326</v>
      </c>
      <c r="L16" s="9" t="s">
        <v>327</v>
      </c>
      <c r="M16" s="9" t="s">
        <v>329</v>
      </c>
      <c r="N16" s="14" t="s">
        <v>65</v>
      </c>
      <c r="O16" s="9" t="s">
        <v>67</v>
      </c>
    </row>
    <row r="17" ht="14.25" customHeight="1">
      <c r="A17" s="9" t="s">
        <v>332</v>
      </c>
      <c r="B17" s="9" t="s">
        <v>333</v>
      </c>
      <c r="C17" s="9" t="s">
        <v>62</v>
      </c>
      <c r="D17" s="9" t="s">
        <v>317</v>
      </c>
      <c r="E17" s="9" t="s">
        <v>319</v>
      </c>
      <c r="F17" s="9" t="s">
        <v>172</v>
      </c>
      <c r="G17" s="9" t="s">
        <v>70</v>
      </c>
      <c r="H17" s="9" t="s">
        <v>56</v>
      </c>
      <c r="I17" s="9" t="s">
        <v>337</v>
      </c>
      <c r="J17" s="12" t="s">
        <v>59</v>
      </c>
      <c r="K17" s="9" t="s">
        <v>340</v>
      </c>
      <c r="L17" s="9" t="s">
        <v>327</v>
      </c>
      <c r="M17" s="9" t="s">
        <v>341</v>
      </c>
      <c r="N17" s="14" t="s">
        <v>65</v>
      </c>
      <c r="O17" s="9" t="s">
        <v>67</v>
      </c>
    </row>
    <row r="18" ht="14.25" customHeight="1">
      <c r="A18" s="9" t="s">
        <v>344</v>
      </c>
      <c r="B18" s="9" t="s">
        <v>345</v>
      </c>
      <c r="C18" s="9" t="s">
        <v>62</v>
      </c>
      <c r="D18" s="9" t="s">
        <v>348</v>
      </c>
      <c r="E18" s="9" t="s">
        <v>319</v>
      </c>
      <c r="F18" s="9" t="s">
        <v>172</v>
      </c>
      <c r="G18" s="9" t="s">
        <v>70</v>
      </c>
      <c r="H18" s="9" t="s">
        <v>73</v>
      </c>
      <c r="I18" s="9" t="s">
        <v>352</v>
      </c>
      <c r="J18" s="12" t="s">
        <v>59</v>
      </c>
      <c r="K18" s="9" t="s">
        <v>354</v>
      </c>
      <c r="L18" s="9" t="s">
        <v>327</v>
      </c>
      <c r="M18" s="9" t="s">
        <v>210</v>
      </c>
      <c r="N18" s="14" t="s">
        <v>65</v>
      </c>
      <c r="O18" s="9" t="s">
        <v>67</v>
      </c>
    </row>
    <row r="19" ht="14.25" customHeight="1">
      <c r="A19" s="9" t="s">
        <v>358</v>
      </c>
      <c r="B19" s="9" t="s">
        <v>360</v>
      </c>
      <c r="C19" s="9" t="s">
        <v>62</v>
      </c>
      <c r="D19" s="9" t="s">
        <v>348</v>
      </c>
      <c r="E19" s="9" t="s">
        <v>319</v>
      </c>
      <c r="F19" s="9" t="s">
        <v>172</v>
      </c>
      <c r="G19" s="9" t="s">
        <v>70</v>
      </c>
      <c r="H19" s="9" t="s">
        <v>56</v>
      </c>
      <c r="I19" s="9" t="s">
        <v>363</v>
      </c>
      <c r="J19" s="12" t="s">
        <v>59</v>
      </c>
      <c r="K19" s="9" t="s">
        <v>364</v>
      </c>
      <c r="L19" s="9" t="s">
        <v>327</v>
      </c>
      <c r="M19" s="9" t="s">
        <v>210</v>
      </c>
      <c r="N19" s="14" t="s">
        <v>65</v>
      </c>
      <c r="O19" s="9" t="s">
        <v>67</v>
      </c>
    </row>
    <row r="20" ht="14.25" customHeight="1">
      <c r="A20" s="9" t="s">
        <v>368</v>
      </c>
      <c r="B20" s="9" t="s">
        <v>370</v>
      </c>
      <c r="C20" s="9" t="s">
        <v>62</v>
      </c>
      <c r="D20" s="9" t="s">
        <v>348</v>
      </c>
      <c r="E20" s="9" t="s">
        <v>319</v>
      </c>
      <c r="F20" s="9" t="s">
        <v>172</v>
      </c>
      <c r="G20" s="9" t="s">
        <v>70</v>
      </c>
      <c r="H20" s="9" t="s">
        <v>321</v>
      </c>
      <c r="I20" s="9" t="s">
        <v>374</v>
      </c>
      <c r="J20" s="12" t="s">
        <v>59</v>
      </c>
      <c r="K20" s="9" t="s">
        <v>376</v>
      </c>
      <c r="L20" s="9" t="s">
        <v>327</v>
      </c>
      <c r="M20" s="9" t="s">
        <v>341</v>
      </c>
      <c r="N20" s="14" t="s">
        <v>65</v>
      </c>
      <c r="O20" s="9" t="s">
        <v>67</v>
      </c>
    </row>
    <row r="21" ht="14.25" customHeight="1">
      <c r="A21" s="9" t="s">
        <v>378</v>
      </c>
      <c r="B21" s="9" t="s">
        <v>379</v>
      </c>
      <c r="C21" s="9" t="s">
        <v>62</v>
      </c>
      <c r="D21" s="9" t="s">
        <v>348</v>
      </c>
      <c r="E21" s="9" t="s">
        <v>319</v>
      </c>
      <c r="F21" s="9" t="s">
        <v>172</v>
      </c>
      <c r="G21" s="9" t="s">
        <v>70</v>
      </c>
      <c r="H21" s="9" t="s">
        <v>56</v>
      </c>
      <c r="I21" s="9" t="s">
        <v>384</v>
      </c>
      <c r="J21" s="12" t="s">
        <v>59</v>
      </c>
      <c r="K21" s="9" t="s">
        <v>385</v>
      </c>
      <c r="L21" s="9" t="s">
        <v>327</v>
      </c>
      <c r="M21" s="9" t="s">
        <v>210</v>
      </c>
      <c r="N21" s="14" t="s">
        <v>107</v>
      </c>
      <c r="O21" s="9" t="s">
        <v>129</v>
      </c>
    </row>
    <row r="22" ht="14.25" customHeight="1">
      <c r="A22" s="9" t="s">
        <v>387</v>
      </c>
      <c r="B22" s="9" t="s">
        <v>389</v>
      </c>
      <c r="C22" s="9" t="s">
        <v>62</v>
      </c>
      <c r="D22" s="9" t="s">
        <v>390</v>
      </c>
      <c r="E22" s="9" t="s">
        <v>391</v>
      </c>
      <c r="F22" s="9" t="s">
        <v>168</v>
      </c>
      <c r="G22" s="9" t="s">
        <v>70</v>
      </c>
      <c r="H22" s="9" t="s">
        <v>56</v>
      </c>
      <c r="I22" s="9" t="s">
        <v>394</v>
      </c>
      <c r="J22" s="12" t="s">
        <v>59</v>
      </c>
      <c r="K22" s="9" t="s">
        <v>395</v>
      </c>
      <c r="L22" s="9" t="s">
        <v>396</v>
      </c>
      <c r="M22" s="9" t="s">
        <v>255</v>
      </c>
      <c r="N22" s="14" t="s">
        <v>107</v>
      </c>
      <c r="O22" s="9" t="s">
        <v>129</v>
      </c>
    </row>
    <row r="23" ht="14.25" customHeight="1">
      <c r="A23" s="9" t="s">
        <v>399</v>
      </c>
      <c r="B23" s="9" t="s">
        <v>400</v>
      </c>
      <c r="C23" s="9" t="s">
        <v>62</v>
      </c>
      <c r="D23" s="9" t="s">
        <v>390</v>
      </c>
      <c r="E23" s="9" t="s">
        <v>391</v>
      </c>
      <c r="F23" s="9" t="s">
        <v>168</v>
      </c>
      <c r="G23" s="9" t="s">
        <v>70</v>
      </c>
      <c r="H23" s="9" t="s">
        <v>56</v>
      </c>
      <c r="I23" s="9" t="s">
        <v>403</v>
      </c>
      <c r="J23" s="12" t="s">
        <v>59</v>
      </c>
      <c r="K23" s="9" t="s">
        <v>405</v>
      </c>
      <c r="L23" s="9" t="s">
        <v>396</v>
      </c>
      <c r="M23" s="9" t="s">
        <v>255</v>
      </c>
      <c r="N23" s="14" t="s">
        <v>107</v>
      </c>
      <c r="O23" s="9" t="s">
        <v>129</v>
      </c>
    </row>
    <row r="24" ht="14.25" customHeight="1">
      <c r="A24" s="9" t="s">
        <v>407</v>
      </c>
      <c r="B24" s="9" t="s">
        <v>409</v>
      </c>
      <c r="C24" s="9" t="s">
        <v>62</v>
      </c>
      <c r="D24" s="9" t="s">
        <v>390</v>
      </c>
      <c r="E24" s="9" t="s">
        <v>391</v>
      </c>
      <c r="F24" s="9" t="s">
        <v>168</v>
      </c>
      <c r="G24" s="9" t="s">
        <v>70</v>
      </c>
      <c r="H24" s="9" t="s">
        <v>56</v>
      </c>
      <c r="I24" s="9" t="s">
        <v>414</v>
      </c>
      <c r="J24" s="12" t="s">
        <v>59</v>
      </c>
      <c r="K24" s="9" t="s">
        <v>416</v>
      </c>
      <c r="L24" s="9" t="s">
        <v>396</v>
      </c>
      <c r="M24" s="9" t="s">
        <v>341</v>
      </c>
      <c r="N24" s="14" t="s">
        <v>107</v>
      </c>
      <c r="O24" s="9" t="s">
        <v>129</v>
      </c>
    </row>
    <row r="25" ht="14.25" customHeight="1">
      <c r="A25" s="9" t="s">
        <v>419</v>
      </c>
      <c r="B25" s="9" t="s">
        <v>421</v>
      </c>
      <c r="C25" s="9" t="s">
        <v>62</v>
      </c>
      <c r="D25" s="9" t="s">
        <v>422</v>
      </c>
      <c r="E25" s="9" t="s">
        <v>391</v>
      </c>
      <c r="F25" s="9" t="s">
        <v>168</v>
      </c>
      <c r="G25" s="9" t="s">
        <v>70</v>
      </c>
      <c r="H25" s="9" t="s">
        <v>56</v>
      </c>
      <c r="I25" s="9" t="s">
        <v>424</v>
      </c>
      <c r="J25" s="12" t="s">
        <v>59</v>
      </c>
      <c r="K25" s="9" t="s">
        <v>427</v>
      </c>
      <c r="L25" s="9" t="s">
        <v>396</v>
      </c>
      <c r="M25" s="9" t="s">
        <v>428</v>
      </c>
      <c r="N25" s="14" t="s">
        <v>65</v>
      </c>
      <c r="O25" s="9" t="s">
        <v>67</v>
      </c>
    </row>
    <row r="26" ht="14.25" customHeight="1">
      <c r="A26" s="9" t="s">
        <v>431</v>
      </c>
      <c r="B26" s="9" t="s">
        <v>432</v>
      </c>
      <c r="C26" s="9" t="s">
        <v>62</v>
      </c>
      <c r="D26" s="9" t="s">
        <v>433</v>
      </c>
      <c r="E26" s="9" t="s">
        <v>434</v>
      </c>
      <c r="F26" s="9" t="s">
        <v>189</v>
      </c>
      <c r="G26" s="9" t="s">
        <v>70</v>
      </c>
      <c r="H26" s="9" t="s">
        <v>437</v>
      </c>
      <c r="I26" s="9" t="s">
        <v>439</v>
      </c>
      <c r="J26" s="12" t="s">
        <v>59</v>
      </c>
      <c r="K26" s="9" t="s">
        <v>440</v>
      </c>
      <c r="L26" s="9" t="s">
        <v>441</v>
      </c>
      <c r="M26" s="9" t="s">
        <v>428</v>
      </c>
      <c r="N26" s="14" t="s">
        <v>65</v>
      </c>
      <c r="O26" s="9" t="s">
        <v>67</v>
      </c>
    </row>
    <row r="27" ht="14.25" customHeight="1">
      <c r="A27" s="9" t="s">
        <v>444</v>
      </c>
      <c r="B27" s="9" t="s">
        <v>445</v>
      </c>
      <c r="C27" s="9" t="s">
        <v>62</v>
      </c>
      <c r="D27" s="9" t="s">
        <v>446</v>
      </c>
      <c r="E27" s="9" t="s">
        <v>434</v>
      </c>
      <c r="F27" s="9" t="s">
        <v>189</v>
      </c>
      <c r="G27" s="9" t="s">
        <v>70</v>
      </c>
      <c r="H27" s="9" t="s">
        <v>56</v>
      </c>
      <c r="I27" s="9" t="s">
        <v>450</v>
      </c>
      <c r="J27" s="12" t="s">
        <v>59</v>
      </c>
      <c r="K27" s="9" t="s">
        <v>452</v>
      </c>
      <c r="L27" s="9" t="s">
        <v>441</v>
      </c>
      <c r="M27" s="9" t="s">
        <v>341</v>
      </c>
      <c r="N27" s="14" t="s">
        <v>65</v>
      </c>
      <c r="O27" s="9" t="s">
        <v>67</v>
      </c>
    </row>
    <row r="28" ht="14.25" customHeight="1">
      <c r="A28" s="9" t="s">
        <v>455</v>
      </c>
      <c r="B28" s="9" t="s">
        <v>456</v>
      </c>
      <c r="C28" s="9" t="s">
        <v>62</v>
      </c>
      <c r="D28" s="9" t="s">
        <v>458</v>
      </c>
      <c r="E28" s="9" t="s">
        <v>434</v>
      </c>
      <c r="F28" s="9" t="s">
        <v>189</v>
      </c>
      <c r="G28" s="9" t="s">
        <v>70</v>
      </c>
      <c r="H28" s="9" t="s">
        <v>56</v>
      </c>
      <c r="I28" s="9" t="s">
        <v>461</v>
      </c>
      <c r="J28" s="12" t="s">
        <v>59</v>
      </c>
      <c r="K28" s="9" t="s">
        <v>462</v>
      </c>
      <c r="L28" s="9" t="s">
        <v>441</v>
      </c>
      <c r="M28" s="9" t="s">
        <v>210</v>
      </c>
      <c r="N28" s="14" t="s">
        <v>65</v>
      </c>
      <c r="O28" s="9" t="s">
        <v>67</v>
      </c>
    </row>
    <row r="29" ht="14.25" customHeight="1">
      <c r="A29" s="9" t="s">
        <v>465</v>
      </c>
      <c r="B29" s="9" t="s">
        <v>466</v>
      </c>
      <c r="C29" s="9" t="s">
        <v>62</v>
      </c>
      <c r="D29" s="9" t="s">
        <v>458</v>
      </c>
      <c r="E29" s="9" t="s">
        <v>434</v>
      </c>
      <c r="F29" s="9" t="s">
        <v>189</v>
      </c>
      <c r="G29" s="9" t="s">
        <v>70</v>
      </c>
      <c r="H29" s="9" t="s">
        <v>321</v>
      </c>
      <c r="I29" s="9" t="s">
        <v>470</v>
      </c>
      <c r="J29" s="12" t="s">
        <v>59</v>
      </c>
      <c r="K29" s="9" t="s">
        <v>472</v>
      </c>
      <c r="L29" s="9" t="s">
        <v>441</v>
      </c>
      <c r="M29" s="9" t="s">
        <v>210</v>
      </c>
      <c r="N29" s="14" t="s">
        <v>65</v>
      </c>
      <c r="O29" s="9" t="s">
        <v>67</v>
      </c>
    </row>
    <row r="30" ht="14.25" customHeight="1">
      <c r="A30" s="9" t="s">
        <v>476</v>
      </c>
      <c r="B30" s="9" t="s">
        <v>477</v>
      </c>
      <c r="C30" s="9" t="s">
        <v>62</v>
      </c>
      <c r="D30" s="9" t="s">
        <v>317</v>
      </c>
      <c r="E30" s="9" t="s">
        <v>434</v>
      </c>
      <c r="F30" s="9" t="s">
        <v>189</v>
      </c>
      <c r="G30" s="9" t="s">
        <v>70</v>
      </c>
      <c r="H30" s="9" t="s">
        <v>56</v>
      </c>
      <c r="I30" s="9" t="s">
        <v>482</v>
      </c>
      <c r="J30" s="12" t="s">
        <v>59</v>
      </c>
      <c r="K30" s="9" t="s">
        <v>484</v>
      </c>
      <c r="L30" s="9" t="s">
        <v>441</v>
      </c>
      <c r="M30" s="9" t="s">
        <v>341</v>
      </c>
      <c r="N30" s="14" t="s">
        <v>65</v>
      </c>
      <c r="O30" s="9" t="s">
        <v>67</v>
      </c>
    </row>
    <row r="31" ht="14.25" customHeight="1">
      <c r="A31" s="9" t="s">
        <v>487</v>
      </c>
      <c r="B31" s="9" t="s">
        <v>488</v>
      </c>
      <c r="C31" s="9" t="s">
        <v>62</v>
      </c>
      <c r="D31" s="9" t="s">
        <v>64</v>
      </c>
      <c r="E31" s="9" t="s">
        <v>434</v>
      </c>
      <c r="F31" s="9" t="s">
        <v>189</v>
      </c>
      <c r="G31" s="9" t="s">
        <v>70</v>
      </c>
      <c r="H31" s="9" t="s">
        <v>56</v>
      </c>
      <c r="I31" s="9" t="s">
        <v>491</v>
      </c>
      <c r="J31" s="12" t="s">
        <v>97</v>
      </c>
      <c r="K31" s="9" t="s">
        <v>494</v>
      </c>
      <c r="L31" s="9" t="s">
        <v>441</v>
      </c>
      <c r="M31" s="9" t="s">
        <v>210</v>
      </c>
      <c r="N31" s="14" t="s">
        <v>107</v>
      </c>
      <c r="O31" s="9" t="s">
        <v>129</v>
      </c>
    </row>
    <row r="32" ht="14.25" customHeight="1">
      <c r="A32" s="9" t="s">
        <v>496</v>
      </c>
      <c r="B32" s="9" t="s">
        <v>498</v>
      </c>
      <c r="C32" s="9" t="s">
        <v>62</v>
      </c>
      <c r="D32" s="9" t="s">
        <v>500</v>
      </c>
      <c r="E32" s="9" t="s">
        <v>434</v>
      </c>
      <c r="F32" s="9" t="s">
        <v>189</v>
      </c>
      <c r="G32" s="9" t="s">
        <v>70</v>
      </c>
      <c r="H32" s="9" t="s">
        <v>56</v>
      </c>
      <c r="I32" s="9" t="s">
        <v>503</v>
      </c>
      <c r="J32" s="12" t="s">
        <v>59</v>
      </c>
      <c r="K32" s="9" t="s">
        <v>504</v>
      </c>
      <c r="L32" s="9" t="s">
        <v>441</v>
      </c>
      <c r="M32" s="9" t="s">
        <v>507</v>
      </c>
      <c r="N32" s="14" t="s">
        <v>107</v>
      </c>
      <c r="O32" s="9" t="s">
        <v>129</v>
      </c>
    </row>
    <row r="33" ht="14.25" customHeight="1">
      <c r="A33" s="9" t="s">
        <v>508</v>
      </c>
      <c r="B33" s="9" t="s">
        <v>509</v>
      </c>
      <c r="C33" s="9" t="s">
        <v>62</v>
      </c>
      <c r="D33" s="9" t="s">
        <v>510</v>
      </c>
      <c r="E33" s="9" t="s">
        <v>512</v>
      </c>
      <c r="F33" s="9" t="s">
        <v>185</v>
      </c>
      <c r="G33" s="9" t="s">
        <v>70</v>
      </c>
      <c r="H33" s="9" t="s">
        <v>437</v>
      </c>
      <c r="I33" s="9" t="s">
        <v>515</v>
      </c>
      <c r="J33" s="12" t="s">
        <v>59</v>
      </c>
      <c r="K33" s="9" t="s">
        <v>517</v>
      </c>
      <c r="L33" s="9" t="s">
        <v>519</v>
      </c>
      <c r="M33" s="9" t="s">
        <v>507</v>
      </c>
      <c r="N33" s="14" t="s">
        <v>113</v>
      </c>
      <c r="O33" s="9" t="s">
        <v>233</v>
      </c>
    </row>
    <row r="34" ht="14.25" customHeight="1">
      <c r="A34" s="9" t="s">
        <v>522</v>
      </c>
      <c r="B34" s="9" t="s">
        <v>524</v>
      </c>
      <c r="C34" s="9" t="s">
        <v>62</v>
      </c>
      <c r="D34" s="9" t="s">
        <v>510</v>
      </c>
      <c r="E34" s="9" t="s">
        <v>512</v>
      </c>
      <c r="F34" s="9" t="s">
        <v>185</v>
      </c>
      <c r="G34" s="9" t="s">
        <v>70</v>
      </c>
      <c r="H34" s="9" t="s">
        <v>437</v>
      </c>
      <c r="I34" s="9" t="s">
        <v>528</v>
      </c>
      <c r="J34" s="12" t="s">
        <v>59</v>
      </c>
      <c r="K34" s="9" t="s">
        <v>530</v>
      </c>
      <c r="L34" s="9" t="s">
        <v>519</v>
      </c>
      <c r="M34" s="9" t="s">
        <v>507</v>
      </c>
      <c r="N34" s="14" t="s">
        <v>113</v>
      </c>
      <c r="O34" s="9" t="s">
        <v>233</v>
      </c>
    </row>
    <row r="35" ht="14.25" customHeight="1">
      <c r="A35" s="9" t="s">
        <v>533</v>
      </c>
      <c r="B35" s="9" t="s">
        <v>534</v>
      </c>
      <c r="C35" s="9" t="s">
        <v>62</v>
      </c>
      <c r="D35" s="9" t="s">
        <v>536</v>
      </c>
      <c r="E35" s="9" t="s">
        <v>512</v>
      </c>
      <c r="F35" s="9" t="s">
        <v>185</v>
      </c>
      <c r="G35" s="9" t="s">
        <v>70</v>
      </c>
      <c r="H35" s="9" t="s">
        <v>56</v>
      </c>
      <c r="I35" s="9" t="s">
        <v>539</v>
      </c>
      <c r="J35" s="12" t="s">
        <v>59</v>
      </c>
      <c r="K35" s="9" t="s">
        <v>541</v>
      </c>
      <c r="L35" s="9" t="s">
        <v>519</v>
      </c>
      <c r="M35" s="9" t="s">
        <v>341</v>
      </c>
      <c r="N35" s="14" t="s">
        <v>65</v>
      </c>
      <c r="O35" s="9" t="s">
        <v>67</v>
      </c>
    </row>
    <row r="36" ht="14.25" customHeight="1">
      <c r="A36" s="9" t="s">
        <v>545</v>
      </c>
      <c r="B36" s="9" t="s">
        <v>546</v>
      </c>
      <c r="C36" s="9" t="s">
        <v>62</v>
      </c>
      <c r="D36" s="9" t="s">
        <v>536</v>
      </c>
      <c r="E36" s="9" t="s">
        <v>512</v>
      </c>
      <c r="F36" s="9" t="s">
        <v>185</v>
      </c>
      <c r="G36" s="9" t="s">
        <v>70</v>
      </c>
      <c r="H36" s="9" t="s">
        <v>56</v>
      </c>
      <c r="I36" s="9" t="s">
        <v>549</v>
      </c>
      <c r="J36" s="12" t="s">
        <v>59</v>
      </c>
      <c r="K36" s="9" t="s">
        <v>551</v>
      </c>
      <c r="L36" s="9" t="s">
        <v>519</v>
      </c>
      <c r="M36" s="9" t="s">
        <v>553</v>
      </c>
      <c r="N36" s="14" t="s">
        <v>107</v>
      </c>
      <c r="O36" s="9" t="s">
        <v>129</v>
      </c>
    </row>
    <row r="37" ht="14.25" customHeight="1">
      <c r="A37" s="9" t="s">
        <v>554</v>
      </c>
      <c r="B37" s="9" t="s">
        <v>556</v>
      </c>
      <c r="C37" s="9" t="s">
        <v>62</v>
      </c>
      <c r="D37" s="9" t="s">
        <v>558</v>
      </c>
      <c r="E37" s="9" t="s">
        <v>512</v>
      </c>
      <c r="F37" s="9" t="s">
        <v>185</v>
      </c>
      <c r="G37" s="9" t="s">
        <v>70</v>
      </c>
      <c r="H37" s="9" t="s">
        <v>437</v>
      </c>
      <c r="I37" s="9" t="s">
        <v>560</v>
      </c>
      <c r="J37" s="12" t="s">
        <v>59</v>
      </c>
      <c r="K37" s="9" t="s">
        <v>563</v>
      </c>
      <c r="L37" s="9" t="s">
        <v>519</v>
      </c>
      <c r="M37" s="9" t="s">
        <v>553</v>
      </c>
      <c r="N37" s="14" t="s">
        <v>107</v>
      </c>
      <c r="O37" s="9" t="s">
        <v>129</v>
      </c>
    </row>
    <row r="38" ht="14.25" customHeight="1">
      <c r="A38" s="9" t="s">
        <v>565</v>
      </c>
      <c r="B38" s="9" t="s">
        <v>566</v>
      </c>
      <c r="C38" s="9" t="s">
        <v>62</v>
      </c>
      <c r="D38" s="9" t="s">
        <v>536</v>
      </c>
      <c r="E38" s="9" t="s">
        <v>512</v>
      </c>
      <c r="F38" s="9" t="s">
        <v>185</v>
      </c>
      <c r="G38" s="9" t="s">
        <v>70</v>
      </c>
      <c r="H38" s="9" t="s">
        <v>321</v>
      </c>
      <c r="I38" s="9" t="s">
        <v>567</v>
      </c>
      <c r="J38" s="12" t="s">
        <v>59</v>
      </c>
      <c r="K38" s="9" t="s">
        <v>568</v>
      </c>
      <c r="L38" s="9" t="s">
        <v>519</v>
      </c>
      <c r="M38" s="9" t="s">
        <v>553</v>
      </c>
      <c r="N38" s="14" t="s">
        <v>113</v>
      </c>
      <c r="O38" s="9" t="s">
        <v>233</v>
      </c>
    </row>
    <row r="39" ht="14.25" customHeight="1">
      <c r="A39" s="9" t="s">
        <v>569</v>
      </c>
      <c r="B39" s="9" t="s">
        <v>570</v>
      </c>
      <c r="C39" s="9" t="s">
        <v>62</v>
      </c>
      <c r="D39" s="9" t="s">
        <v>536</v>
      </c>
      <c r="E39" s="9" t="s">
        <v>512</v>
      </c>
      <c r="F39" s="9" t="s">
        <v>185</v>
      </c>
      <c r="G39" s="9" t="s">
        <v>70</v>
      </c>
      <c r="H39" s="9" t="s">
        <v>437</v>
      </c>
      <c r="I39" s="9" t="s">
        <v>571</v>
      </c>
      <c r="J39" s="12" t="s">
        <v>97</v>
      </c>
      <c r="K39" s="9" t="s">
        <v>572</v>
      </c>
      <c r="L39" s="9" t="s">
        <v>519</v>
      </c>
      <c r="M39" s="9" t="s">
        <v>553</v>
      </c>
      <c r="N39" s="14" t="s">
        <v>107</v>
      </c>
      <c r="O39" s="9" t="s">
        <v>129</v>
      </c>
    </row>
    <row r="40" ht="14.25" customHeight="1">
      <c r="A40" s="9" t="s">
        <v>573</v>
      </c>
      <c r="B40" s="9" t="s">
        <v>574</v>
      </c>
      <c r="C40" s="9" t="s">
        <v>62</v>
      </c>
      <c r="D40" s="9" t="s">
        <v>575</v>
      </c>
      <c r="E40" s="9" t="s">
        <v>576</v>
      </c>
      <c r="F40" s="9" t="s">
        <v>189</v>
      </c>
      <c r="G40" s="9" t="s">
        <v>70</v>
      </c>
      <c r="H40" s="9" t="s">
        <v>56</v>
      </c>
      <c r="I40" s="9" t="s">
        <v>577</v>
      </c>
      <c r="J40" s="12" t="s">
        <v>59</v>
      </c>
      <c r="K40" s="9" t="s">
        <v>578</v>
      </c>
      <c r="L40" s="9" t="s">
        <v>579</v>
      </c>
      <c r="M40" s="9" t="s">
        <v>329</v>
      </c>
      <c r="N40" s="14" t="s">
        <v>65</v>
      </c>
      <c r="O40" s="9" t="s">
        <v>67</v>
      </c>
    </row>
    <row r="41" ht="14.25" customHeight="1">
      <c r="A41" s="9" t="s">
        <v>580</v>
      </c>
      <c r="B41" s="9" t="s">
        <v>581</v>
      </c>
      <c r="C41" s="9" t="s">
        <v>62</v>
      </c>
      <c r="D41" s="9" t="s">
        <v>575</v>
      </c>
      <c r="E41" s="9" t="s">
        <v>576</v>
      </c>
      <c r="F41" s="9" t="s">
        <v>189</v>
      </c>
      <c r="G41" s="9" t="s">
        <v>70</v>
      </c>
      <c r="H41" s="9" t="s">
        <v>437</v>
      </c>
      <c r="I41" s="9" t="s">
        <v>582</v>
      </c>
      <c r="J41" s="12" t="s">
        <v>59</v>
      </c>
      <c r="K41" s="9" t="s">
        <v>583</v>
      </c>
      <c r="L41" s="9" t="s">
        <v>579</v>
      </c>
      <c r="M41" s="9" t="s">
        <v>329</v>
      </c>
      <c r="N41" s="14" t="s">
        <v>65</v>
      </c>
      <c r="O41" s="9" t="s">
        <v>67</v>
      </c>
    </row>
    <row r="42" ht="14.25" customHeight="1">
      <c r="A42" s="9" t="s">
        <v>584</v>
      </c>
      <c r="B42" s="9" t="s">
        <v>585</v>
      </c>
      <c r="C42" s="9" t="s">
        <v>62</v>
      </c>
      <c r="D42" s="9" t="s">
        <v>575</v>
      </c>
      <c r="E42" s="9" t="s">
        <v>576</v>
      </c>
      <c r="F42" s="9" t="s">
        <v>189</v>
      </c>
      <c r="G42" s="9" t="s">
        <v>70</v>
      </c>
      <c r="H42" s="9" t="s">
        <v>321</v>
      </c>
      <c r="I42" s="9" t="s">
        <v>586</v>
      </c>
      <c r="J42" s="12" t="s">
        <v>59</v>
      </c>
      <c r="K42" s="9" t="s">
        <v>587</v>
      </c>
      <c r="L42" s="9" t="s">
        <v>579</v>
      </c>
      <c r="M42" s="9" t="s">
        <v>329</v>
      </c>
      <c r="N42" s="14" t="s">
        <v>65</v>
      </c>
      <c r="O42" s="9" t="s">
        <v>67</v>
      </c>
    </row>
    <row r="43" ht="14.25" customHeight="1">
      <c r="A43" s="9" t="s">
        <v>588</v>
      </c>
      <c r="B43" s="9" t="s">
        <v>589</v>
      </c>
      <c r="C43" s="9" t="s">
        <v>62</v>
      </c>
      <c r="D43" s="9" t="s">
        <v>575</v>
      </c>
      <c r="E43" s="9" t="s">
        <v>576</v>
      </c>
      <c r="F43" s="9" t="s">
        <v>189</v>
      </c>
      <c r="G43" s="9" t="s">
        <v>70</v>
      </c>
      <c r="H43" s="9" t="s">
        <v>437</v>
      </c>
      <c r="I43" s="9" t="s">
        <v>590</v>
      </c>
      <c r="J43" s="12" t="s">
        <v>97</v>
      </c>
      <c r="K43" s="9" t="s">
        <v>591</v>
      </c>
      <c r="L43" s="9" t="s">
        <v>579</v>
      </c>
      <c r="M43" s="9" t="s">
        <v>329</v>
      </c>
      <c r="N43" s="14" t="s">
        <v>113</v>
      </c>
      <c r="O43" s="9" t="s">
        <v>233</v>
      </c>
    </row>
    <row r="44" ht="14.25" customHeight="1">
      <c r="A44" s="9" t="s">
        <v>592</v>
      </c>
      <c r="B44" s="9" t="s">
        <v>593</v>
      </c>
      <c r="C44" s="9" t="s">
        <v>62</v>
      </c>
      <c r="D44" s="9" t="s">
        <v>594</v>
      </c>
      <c r="E44" s="9" t="s">
        <v>595</v>
      </c>
      <c r="F44" s="9" t="s">
        <v>177</v>
      </c>
      <c r="G44" s="9" t="s">
        <v>70</v>
      </c>
      <c r="H44" s="9" t="s">
        <v>321</v>
      </c>
      <c r="I44" s="9" t="s">
        <v>596</v>
      </c>
      <c r="J44" s="12" t="s">
        <v>59</v>
      </c>
      <c r="K44" s="9" t="s">
        <v>597</v>
      </c>
      <c r="L44" s="9" t="s">
        <v>598</v>
      </c>
      <c r="M44" s="9" t="s">
        <v>341</v>
      </c>
      <c r="N44" s="14" t="s">
        <v>107</v>
      </c>
      <c r="O44" s="9" t="s">
        <v>129</v>
      </c>
    </row>
    <row r="45" ht="14.25" customHeight="1">
      <c r="A45" s="9" t="s">
        <v>599</v>
      </c>
      <c r="B45" s="9" t="s">
        <v>600</v>
      </c>
      <c r="C45" s="9" t="s">
        <v>62</v>
      </c>
      <c r="D45" s="9" t="s">
        <v>594</v>
      </c>
      <c r="E45" s="9" t="s">
        <v>595</v>
      </c>
      <c r="F45" s="9" t="s">
        <v>177</v>
      </c>
      <c r="G45" s="9" t="s">
        <v>70</v>
      </c>
      <c r="H45" s="9" t="s">
        <v>56</v>
      </c>
      <c r="I45" s="9" t="s">
        <v>601</v>
      </c>
      <c r="J45" s="12" t="s">
        <v>59</v>
      </c>
      <c r="K45" s="9" t="s">
        <v>602</v>
      </c>
      <c r="L45" s="9" t="s">
        <v>598</v>
      </c>
      <c r="M45" s="9" t="s">
        <v>299</v>
      </c>
      <c r="N45" s="14" t="s">
        <v>65</v>
      </c>
      <c r="O45" s="9" t="s">
        <v>67</v>
      </c>
    </row>
    <row r="46" ht="14.25" customHeight="1">
      <c r="A46" s="9" t="s">
        <v>603</v>
      </c>
      <c r="B46" s="9" t="s">
        <v>604</v>
      </c>
      <c r="C46" s="9" t="s">
        <v>62</v>
      </c>
      <c r="D46" s="9" t="s">
        <v>605</v>
      </c>
      <c r="E46" s="9" t="s">
        <v>606</v>
      </c>
      <c r="F46" s="9" t="s">
        <v>185</v>
      </c>
      <c r="G46" s="9" t="s">
        <v>70</v>
      </c>
      <c r="H46" s="9" t="s">
        <v>56</v>
      </c>
      <c r="I46" s="9" t="s">
        <v>607</v>
      </c>
      <c r="J46" s="12" t="s">
        <v>59</v>
      </c>
      <c r="K46" s="9" t="s">
        <v>608</v>
      </c>
      <c r="L46" s="9" t="s">
        <v>609</v>
      </c>
      <c r="M46" s="9" t="s">
        <v>210</v>
      </c>
      <c r="N46" s="14" t="s">
        <v>107</v>
      </c>
      <c r="O46" s="9" t="s">
        <v>129</v>
      </c>
    </row>
    <row r="47" ht="14.25" customHeight="1">
      <c r="A47" s="9" t="s">
        <v>610</v>
      </c>
      <c r="B47" s="9" t="s">
        <v>611</v>
      </c>
      <c r="C47" s="9" t="s">
        <v>62</v>
      </c>
      <c r="D47" s="9" t="s">
        <v>612</v>
      </c>
      <c r="E47" s="9" t="s">
        <v>613</v>
      </c>
      <c r="F47" s="9" t="s">
        <v>189</v>
      </c>
      <c r="G47" s="9" t="s">
        <v>70</v>
      </c>
      <c r="H47" s="9" t="s">
        <v>56</v>
      </c>
      <c r="I47" s="9" t="s">
        <v>614</v>
      </c>
      <c r="J47" s="12" t="s">
        <v>97</v>
      </c>
      <c r="K47" s="9" t="s">
        <v>615</v>
      </c>
      <c r="L47" s="9" t="s">
        <v>616</v>
      </c>
      <c r="M47" s="9" t="s">
        <v>210</v>
      </c>
      <c r="N47" s="14" t="s">
        <v>107</v>
      </c>
      <c r="O47" s="9" t="s">
        <v>129</v>
      </c>
    </row>
    <row r="48" ht="14.25" customHeight="1">
      <c r="A48" s="9" t="s">
        <v>617</v>
      </c>
      <c r="B48" s="9" t="s">
        <v>618</v>
      </c>
      <c r="C48" s="9" t="s">
        <v>62</v>
      </c>
      <c r="D48" s="9" t="s">
        <v>348</v>
      </c>
      <c r="E48" s="9" t="s">
        <v>619</v>
      </c>
      <c r="F48" s="9" t="s">
        <v>172</v>
      </c>
      <c r="G48" s="9" t="s">
        <v>70</v>
      </c>
      <c r="H48" s="9" t="s">
        <v>73</v>
      </c>
      <c r="I48" s="9" t="s">
        <v>620</v>
      </c>
      <c r="J48" s="12" t="s">
        <v>59</v>
      </c>
      <c r="K48" s="9" t="s">
        <v>621</v>
      </c>
      <c r="L48" s="9" t="s">
        <v>622</v>
      </c>
      <c r="M48" s="9" t="s">
        <v>210</v>
      </c>
      <c r="N48" s="14" t="s">
        <v>113</v>
      </c>
      <c r="O48" s="9" t="s">
        <v>233</v>
      </c>
    </row>
    <row r="49" ht="14.25" customHeight="1">
      <c r="A49" s="9" t="s">
        <v>623</v>
      </c>
      <c r="B49" s="9" t="s">
        <v>624</v>
      </c>
      <c r="C49" s="9" t="s">
        <v>62</v>
      </c>
      <c r="D49" s="9" t="s">
        <v>625</v>
      </c>
      <c r="E49" s="9" t="s">
        <v>626</v>
      </c>
      <c r="F49" s="9" t="s">
        <v>189</v>
      </c>
      <c r="G49" s="9" t="s">
        <v>70</v>
      </c>
      <c r="H49" s="9" t="s">
        <v>321</v>
      </c>
      <c r="I49" s="9" t="s">
        <v>627</v>
      </c>
      <c r="J49" s="12" t="s">
        <v>97</v>
      </c>
      <c r="K49" s="9" t="s">
        <v>628</v>
      </c>
      <c r="L49" s="9" t="s">
        <v>629</v>
      </c>
      <c r="M49" s="9" t="s">
        <v>210</v>
      </c>
      <c r="N49" s="14" t="s">
        <v>65</v>
      </c>
      <c r="O49" s="9" t="s">
        <v>67</v>
      </c>
    </row>
    <row r="50" ht="14.25" customHeight="1">
      <c r="A50" s="9" t="s">
        <v>630</v>
      </c>
      <c r="B50" s="9" t="s">
        <v>631</v>
      </c>
      <c r="C50" s="9" t="s">
        <v>62</v>
      </c>
      <c r="D50" s="9" t="s">
        <v>390</v>
      </c>
      <c r="E50" s="9" t="s">
        <v>632</v>
      </c>
      <c r="F50" s="9" t="s">
        <v>168</v>
      </c>
      <c r="G50" s="9" t="s">
        <v>70</v>
      </c>
      <c r="H50" s="9" t="s">
        <v>56</v>
      </c>
      <c r="I50" s="9" t="s">
        <v>633</v>
      </c>
      <c r="J50" s="12" t="s">
        <v>59</v>
      </c>
      <c r="K50" s="9" t="s">
        <v>634</v>
      </c>
      <c r="L50" s="9" t="s">
        <v>635</v>
      </c>
      <c r="M50" s="9" t="s">
        <v>341</v>
      </c>
      <c r="N50" s="14" t="s">
        <v>113</v>
      </c>
      <c r="O50" s="9" t="s">
        <v>233</v>
      </c>
    </row>
    <row r="51" ht="14.25" customHeight="1">
      <c r="A51" s="9" t="s">
        <v>636</v>
      </c>
      <c r="B51" s="9" t="s">
        <v>637</v>
      </c>
      <c r="C51" s="9" t="s">
        <v>62</v>
      </c>
      <c r="D51" s="9" t="s">
        <v>638</v>
      </c>
      <c r="E51" s="9" t="s">
        <v>639</v>
      </c>
      <c r="F51" s="9" t="s">
        <v>185</v>
      </c>
      <c r="G51" s="9" t="s">
        <v>70</v>
      </c>
      <c r="H51" s="9" t="s">
        <v>321</v>
      </c>
      <c r="I51" s="9" t="s">
        <v>640</v>
      </c>
      <c r="J51" s="12" t="s">
        <v>59</v>
      </c>
      <c r="K51" s="9" t="s">
        <v>641</v>
      </c>
      <c r="L51" s="9" t="s">
        <v>642</v>
      </c>
      <c r="M51" s="9" t="s">
        <v>553</v>
      </c>
      <c r="N51" s="14" t="s">
        <v>65</v>
      </c>
      <c r="O51" s="9" t="s">
        <v>67</v>
      </c>
    </row>
    <row r="52" ht="14.25" customHeight="1"/>
    <row r="53" ht="14.25" customHeight="1"/>
    <row r="54" ht="14.25" customHeight="1">
      <c r="M54" s="24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2:O51">
    <cfRule type="expression" dxfId="12" priority="1">
      <formula>$C2="No Funcional"</formula>
    </cfRule>
  </conditionalFormatting>
  <conditionalFormatting sqref="J2:J51">
    <cfRule type="expression" dxfId="6" priority="2">
      <formula>J2="Alto"</formula>
    </cfRule>
  </conditionalFormatting>
  <conditionalFormatting sqref="J2:J51">
    <cfRule type="expression" dxfId="7" priority="3">
      <formula>J2="Medio"</formula>
    </cfRule>
  </conditionalFormatting>
  <conditionalFormatting sqref="J2:J51">
    <cfRule type="expression" dxfId="8" priority="4">
      <formula>J2="Bajo"</formula>
    </cfRule>
  </conditionalFormatting>
  <conditionalFormatting sqref="N2:N51">
    <cfRule type="expression" dxfId="9" priority="5">
      <formula>N2="Aprobado"</formula>
    </cfRule>
  </conditionalFormatting>
  <conditionalFormatting sqref="N2:N51">
    <cfRule type="expression" dxfId="10" priority="6">
      <formula>N2="Asignado"</formula>
    </cfRule>
  </conditionalFormatting>
  <conditionalFormatting sqref="N2:N51">
    <cfRule type="expression" dxfId="7" priority="7">
      <formula>N2="Propuesto"</formula>
    </cfRule>
  </conditionalFormatting>
  <conditionalFormatting sqref="N2:N51">
    <cfRule type="expression" dxfId="11" priority="8">
      <formula>N2="Diferido"</formula>
    </cfRule>
  </conditionalFormatting>
  <dataValidations>
    <dataValidation type="list" allowBlank="1" sqref="N2:N51">
      <formula1>"Aprobado,Propuesto,Asignado,Diferido"</formula1>
    </dataValidation>
    <dataValidation type="list" allowBlank="1" sqref="J2:J51">
      <formula1>"Bajo,Medio,Alto"</formula1>
    </dataValidation>
    <dataValidation type="list" allowBlank="1" sqref="C2:C51">
      <formula1>"Funcional,No Funcional"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30.0"/>
    <col customWidth="1" min="3" max="3" width="15.0"/>
    <col customWidth="1" min="4" max="4" width="24.0"/>
    <col customWidth="1" min="5" max="5" width="31.0"/>
    <col customWidth="1" min="6" max="6" width="17.0"/>
    <col customWidth="1" min="7" max="7" width="20.0"/>
    <col customWidth="1" min="8" max="8" width="38.0"/>
    <col customWidth="1" min="9" max="9" width="62.0"/>
    <col customWidth="1" min="10" max="10" width="13.0"/>
    <col customWidth="1" min="11" max="11" width="62.0"/>
    <col customWidth="1" min="12" max="12" width="30.0"/>
    <col customWidth="1" min="13" max="13" width="48.0"/>
    <col customWidth="1" min="14" max="14" width="14.0"/>
    <col customWidth="1" min="15" max="15" width="46.0"/>
    <col customWidth="1" min="16" max="26" width="9.0"/>
  </cols>
  <sheetData>
    <row r="1" ht="42.0" customHeight="1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  <c r="O1" s="6" t="s">
        <v>47</v>
      </c>
    </row>
    <row r="2" ht="14.25" customHeight="1">
      <c r="A2" s="8" t="s">
        <v>48</v>
      </c>
      <c r="B2" s="8" t="s">
        <v>49</v>
      </c>
      <c r="C2" s="8" t="s">
        <v>50</v>
      </c>
      <c r="D2" s="8" t="s">
        <v>51</v>
      </c>
      <c r="E2" s="8" t="s">
        <v>52</v>
      </c>
      <c r="F2" s="8" t="s">
        <v>54</v>
      </c>
      <c r="G2" s="8" t="s">
        <v>55</v>
      </c>
      <c r="H2" s="8" t="s">
        <v>56</v>
      </c>
      <c r="I2" s="8" t="s">
        <v>57</v>
      </c>
      <c r="J2" s="10" t="s">
        <v>59</v>
      </c>
      <c r="K2" s="8" t="s">
        <v>60</v>
      </c>
      <c r="L2" s="8" t="s">
        <v>61</v>
      </c>
      <c r="M2" s="8" t="s">
        <v>63</v>
      </c>
      <c r="N2" s="11" t="s">
        <v>65</v>
      </c>
      <c r="O2" s="8" t="s">
        <v>67</v>
      </c>
    </row>
    <row r="3" ht="14.25" customHeight="1">
      <c r="A3" s="8" t="s">
        <v>68</v>
      </c>
      <c r="B3" s="8" t="s">
        <v>69</v>
      </c>
      <c r="C3" s="8" t="s">
        <v>50</v>
      </c>
      <c r="D3" s="8" t="s">
        <v>71</v>
      </c>
      <c r="E3" s="8" t="s">
        <v>52</v>
      </c>
      <c r="F3" s="8" t="s">
        <v>54</v>
      </c>
      <c r="G3" s="8" t="s">
        <v>55</v>
      </c>
      <c r="H3" s="8" t="s">
        <v>73</v>
      </c>
      <c r="I3" s="8" t="s">
        <v>74</v>
      </c>
      <c r="J3" s="10" t="s">
        <v>59</v>
      </c>
      <c r="K3" s="8" t="s">
        <v>75</v>
      </c>
      <c r="L3" s="8" t="s">
        <v>76</v>
      </c>
      <c r="M3" s="8" t="s">
        <v>63</v>
      </c>
      <c r="N3" s="11" t="s">
        <v>65</v>
      </c>
      <c r="O3" s="8" t="s">
        <v>67</v>
      </c>
    </row>
    <row r="4" ht="14.25" customHeight="1">
      <c r="A4" s="8" t="s">
        <v>76</v>
      </c>
      <c r="B4" s="8" t="s">
        <v>78</v>
      </c>
      <c r="C4" s="8" t="s">
        <v>50</v>
      </c>
      <c r="D4" s="8" t="s">
        <v>71</v>
      </c>
      <c r="E4" s="8" t="s">
        <v>52</v>
      </c>
      <c r="F4" s="8" t="s">
        <v>54</v>
      </c>
      <c r="G4" s="8" t="s">
        <v>55</v>
      </c>
      <c r="H4" s="8" t="s">
        <v>56</v>
      </c>
      <c r="I4" s="8" t="s">
        <v>82</v>
      </c>
      <c r="J4" s="10" t="s">
        <v>59</v>
      </c>
      <c r="K4" s="8" t="s">
        <v>85</v>
      </c>
      <c r="L4" s="8" t="s">
        <v>68</v>
      </c>
      <c r="M4" s="8" t="s">
        <v>63</v>
      </c>
      <c r="N4" s="11" t="s">
        <v>65</v>
      </c>
      <c r="O4" s="8" t="s">
        <v>67</v>
      </c>
    </row>
    <row r="5" ht="14.25" customHeight="1">
      <c r="A5" s="8" t="s">
        <v>93</v>
      </c>
      <c r="B5" s="8" t="s">
        <v>95</v>
      </c>
      <c r="C5" s="8" t="s">
        <v>50</v>
      </c>
      <c r="D5" s="8" t="s">
        <v>71</v>
      </c>
      <c r="E5" s="8" t="s">
        <v>52</v>
      </c>
      <c r="F5" s="8" t="s">
        <v>54</v>
      </c>
      <c r="G5" s="8" t="s">
        <v>55</v>
      </c>
      <c r="H5" s="8" t="s">
        <v>56</v>
      </c>
      <c r="I5" s="8" t="s">
        <v>101</v>
      </c>
      <c r="J5" s="10" t="s">
        <v>59</v>
      </c>
      <c r="K5" s="8" t="s">
        <v>103</v>
      </c>
      <c r="L5" s="8" t="s">
        <v>48</v>
      </c>
      <c r="M5" s="8" t="s">
        <v>63</v>
      </c>
      <c r="N5" s="11" t="s">
        <v>65</v>
      </c>
      <c r="O5" s="8" t="s">
        <v>67</v>
      </c>
    </row>
    <row r="6" ht="14.25" customHeight="1">
      <c r="A6" s="8" t="s">
        <v>109</v>
      </c>
      <c r="B6" s="8" t="s">
        <v>112</v>
      </c>
      <c r="C6" s="8" t="s">
        <v>50</v>
      </c>
      <c r="D6" s="8" t="s">
        <v>51</v>
      </c>
      <c r="E6" s="8" t="s">
        <v>52</v>
      </c>
      <c r="F6" s="8" t="s">
        <v>54</v>
      </c>
      <c r="G6" s="8" t="s">
        <v>55</v>
      </c>
      <c r="H6" s="8" t="s">
        <v>56</v>
      </c>
      <c r="I6" s="8" t="s">
        <v>122</v>
      </c>
      <c r="J6" s="10" t="s">
        <v>97</v>
      </c>
      <c r="K6" s="8" t="s">
        <v>125</v>
      </c>
      <c r="L6" s="8" t="s">
        <v>93</v>
      </c>
      <c r="M6" s="8" t="s">
        <v>63</v>
      </c>
      <c r="N6" s="11" t="s">
        <v>107</v>
      </c>
      <c r="O6" s="8" t="s">
        <v>129</v>
      </c>
    </row>
    <row r="7" ht="14.25" customHeight="1">
      <c r="A7" s="8" t="s">
        <v>131</v>
      </c>
      <c r="B7" s="8" t="s">
        <v>134</v>
      </c>
      <c r="C7" s="8" t="s">
        <v>50</v>
      </c>
      <c r="D7" s="8" t="s">
        <v>51</v>
      </c>
      <c r="E7" s="8" t="s">
        <v>138</v>
      </c>
      <c r="F7" s="8" t="s">
        <v>139</v>
      </c>
      <c r="G7" s="8" t="s">
        <v>141</v>
      </c>
      <c r="H7" s="8" t="s">
        <v>73</v>
      </c>
      <c r="I7" s="8" t="s">
        <v>145</v>
      </c>
      <c r="J7" s="10" t="s">
        <v>59</v>
      </c>
      <c r="K7" s="8" t="s">
        <v>147</v>
      </c>
      <c r="L7" s="8" t="s">
        <v>149</v>
      </c>
      <c r="M7" s="8" t="s">
        <v>150</v>
      </c>
      <c r="N7" s="11" t="s">
        <v>65</v>
      </c>
      <c r="O7" s="8" t="s">
        <v>67</v>
      </c>
    </row>
    <row r="8" ht="14.25" customHeight="1">
      <c r="A8" s="8" t="s">
        <v>156</v>
      </c>
      <c r="B8" s="8" t="s">
        <v>157</v>
      </c>
      <c r="C8" s="8" t="s">
        <v>50</v>
      </c>
      <c r="D8" s="8" t="s">
        <v>51</v>
      </c>
      <c r="E8" s="8" t="s">
        <v>138</v>
      </c>
      <c r="F8" s="8" t="s">
        <v>139</v>
      </c>
      <c r="G8" s="8" t="s">
        <v>141</v>
      </c>
      <c r="H8" s="8" t="s">
        <v>73</v>
      </c>
      <c r="I8" s="8" t="s">
        <v>165</v>
      </c>
      <c r="J8" s="10" t="s">
        <v>59</v>
      </c>
      <c r="K8" s="8" t="s">
        <v>169</v>
      </c>
      <c r="L8" s="8" t="s">
        <v>131</v>
      </c>
      <c r="M8" s="8" t="s">
        <v>150</v>
      </c>
      <c r="N8" s="11" t="s">
        <v>65</v>
      </c>
      <c r="O8" s="8" t="s">
        <v>67</v>
      </c>
    </row>
    <row r="9" ht="14.25" customHeight="1">
      <c r="A9" s="8" t="s">
        <v>174</v>
      </c>
      <c r="B9" s="8" t="s">
        <v>176</v>
      </c>
      <c r="C9" s="8" t="s">
        <v>50</v>
      </c>
      <c r="D9" s="8" t="s">
        <v>51</v>
      </c>
      <c r="E9" s="8" t="s">
        <v>138</v>
      </c>
      <c r="F9" s="8" t="s">
        <v>139</v>
      </c>
      <c r="G9" s="8" t="s">
        <v>141</v>
      </c>
      <c r="H9" s="8" t="s">
        <v>56</v>
      </c>
      <c r="I9" s="8" t="s">
        <v>179</v>
      </c>
      <c r="J9" s="10" t="s">
        <v>97</v>
      </c>
      <c r="K9" s="8" t="s">
        <v>181</v>
      </c>
      <c r="L9" s="8" t="s">
        <v>156</v>
      </c>
      <c r="M9" s="8" t="s">
        <v>150</v>
      </c>
      <c r="N9" s="11" t="s">
        <v>107</v>
      </c>
      <c r="O9" s="8" t="s">
        <v>129</v>
      </c>
    </row>
    <row r="10" ht="14.25" customHeight="1">
      <c r="A10" s="8" t="s">
        <v>186</v>
      </c>
      <c r="B10" s="8" t="s">
        <v>188</v>
      </c>
      <c r="C10" s="8" t="s">
        <v>50</v>
      </c>
      <c r="D10" s="8" t="s">
        <v>51</v>
      </c>
      <c r="E10" s="8" t="s">
        <v>138</v>
      </c>
      <c r="F10" s="8" t="s">
        <v>139</v>
      </c>
      <c r="G10" s="8" t="s">
        <v>141</v>
      </c>
      <c r="H10" s="8" t="s">
        <v>56</v>
      </c>
      <c r="I10" s="8" t="s">
        <v>191</v>
      </c>
      <c r="J10" s="10" t="s">
        <v>97</v>
      </c>
      <c r="K10" s="8" t="s">
        <v>192</v>
      </c>
      <c r="L10" s="8" t="s">
        <v>131</v>
      </c>
      <c r="M10" s="8" t="s">
        <v>150</v>
      </c>
      <c r="N10" s="11" t="s">
        <v>107</v>
      </c>
      <c r="O10" s="8" t="s">
        <v>129</v>
      </c>
    </row>
    <row r="11" ht="14.25" customHeight="1">
      <c r="A11" s="8" t="s">
        <v>195</v>
      </c>
      <c r="B11" s="8" t="s">
        <v>196</v>
      </c>
      <c r="C11" s="8" t="s">
        <v>50</v>
      </c>
      <c r="D11" s="8" t="s">
        <v>51</v>
      </c>
      <c r="E11" s="8" t="s">
        <v>138</v>
      </c>
      <c r="F11" s="8" t="s">
        <v>139</v>
      </c>
      <c r="G11" s="8" t="s">
        <v>141</v>
      </c>
      <c r="H11" s="8" t="s">
        <v>56</v>
      </c>
      <c r="I11" s="8" t="s">
        <v>197</v>
      </c>
      <c r="J11" s="10" t="s">
        <v>59</v>
      </c>
      <c r="K11" s="8" t="s">
        <v>199</v>
      </c>
      <c r="L11" s="8" t="s">
        <v>131</v>
      </c>
      <c r="M11" s="8" t="s">
        <v>150</v>
      </c>
      <c r="N11" s="11" t="s">
        <v>107</v>
      </c>
      <c r="O11" s="8" t="s">
        <v>129</v>
      </c>
    </row>
    <row r="12" ht="14.25" customHeight="1">
      <c r="A12" s="8" t="s">
        <v>201</v>
      </c>
      <c r="B12" s="8" t="s">
        <v>202</v>
      </c>
      <c r="C12" s="8" t="s">
        <v>50</v>
      </c>
      <c r="D12" s="8" t="s">
        <v>51</v>
      </c>
      <c r="E12" s="8" t="s">
        <v>138</v>
      </c>
      <c r="F12" s="8" t="s">
        <v>153</v>
      </c>
      <c r="G12" s="8" t="s">
        <v>203</v>
      </c>
      <c r="H12" s="8" t="s">
        <v>73</v>
      </c>
      <c r="I12" s="8" t="s">
        <v>204</v>
      </c>
      <c r="J12" s="10" t="s">
        <v>59</v>
      </c>
      <c r="K12" s="8" t="s">
        <v>206</v>
      </c>
      <c r="L12" s="8" t="s">
        <v>207</v>
      </c>
      <c r="M12" s="8" t="s">
        <v>209</v>
      </c>
      <c r="N12" s="11" t="s">
        <v>65</v>
      </c>
      <c r="O12" s="8" t="s">
        <v>67</v>
      </c>
    </row>
    <row r="13" ht="14.25" customHeight="1">
      <c r="A13" s="8" t="s">
        <v>211</v>
      </c>
      <c r="B13" s="8" t="s">
        <v>212</v>
      </c>
      <c r="C13" s="8" t="s">
        <v>50</v>
      </c>
      <c r="D13" s="8" t="s">
        <v>71</v>
      </c>
      <c r="E13" s="8" t="s">
        <v>138</v>
      </c>
      <c r="F13" s="8" t="s">
        <v>153</v>
      </c>
      <c r="G13" s="8" t="s">
        <v>203</v>
      </c>
      <c r="H13" s="8" t="s">
        <v>56</v>
      </c>
      <c r="I13" s="8" t="s">
        <v>215</v>
      </c>
      <c r="J13" s="10" t="s">
        <v>59</v>
      </c>
      <c r="K13" s="8" t="s">
        <v>216</v>
      </c>
      <c r="L13" s="8" t="s">
        <v>201</v>
      </c>
      <c r="M13" s="8" t="s">
        <v>209</v>
      </c>
      <c r="N13" s="11" t="s">
        <v>107</v>
      </c>
      <c r="O13" s="8" t="s">
        <v>129</v>
      </c>
    </row>
    <row r="14" ht="14.25" customHeight="1">
      <c r="A14" s="8" t="s">
        <v>218</v>
      </c>
      <c r="B14" s="8" t="s">
        <v>219</v>
      </c>
      <c r="C14" s="8" t="s">
        <v>50</v>
      </c>
      <c r="D14" s="8" t="s">
        <v>51</v>
      </c>
      <c r="E14" s="8" t="s">
        <v>138</v>
      </c>
      <c r="F14" s="8" t="s">
        <v>153</v>
      </c>
      <c r="G14" s="8" t="s">
        <v>221</v>
      </c>
      <c r="H14" s="8" t="s">
        <v>73</v>
      </c>
      <c r="I14" s="8" t="s">
        <v>222</v>
      </c>
      <c r="J14" s="10" t="s">
        <v>59</v>
      </c>
      <c r="K14" s="8" t="s">
        <v>223</v>
      </c>
      <c r="L14" s="8" t="s">
        <v>224</v>
      </c>
      <c r="M14" s="8" t="s">
        <v>209</v>
      </c>
      <c r="N14" s="11" t="s">
        <v>65</v>
      </c>
      <c r="O14" s="8" t="s">
        <v>67</v>
      </c>
    </row>
    <row r="15" ht="14.25" customHeight="1">
      <c r="A15" s="8" t="s">
        <v>227</v>
      </c>
      <c r="B15" s="8" t="s">
        <v>228</v>
      </c>
      <c r="C15" s="8" t="s">
        <v>50</v>
      </c>
      <c r="D15" s="8" t="s">
        <v>51</v>
      </c>
      <c r="E15" s="8" t="s">
        <v>138</v>
      </c>
      <c r="F15" s="8" t="s">
        <v>153</v>
      </c>
      <c r="G15" s="8" t="s">
        <v>221</v>
      </c>
      <c r="H15" s="8" t="s">
        <v>56</v>
      </c>
      <c r="I15" s="8" t="s">
        <v>230</v>
      </c>
      <c r="J15" s="10" t="s">
        <v>97</v>
      </c>
      <c r="K15" s="8" t="s">
        <v>231</v>
      </c>
      <c r="L15" s="8" t="s">
        <v>218</v>
      </c>
      <c r="M15" s="8" t="s">
        <v>209</v>
      </c>
      <c r="N15" s="11" t="s">
        <v>113</v>
      </c>
      <c r="O15" s="8" t="s">
        <v>233</v>
      </c>
    </row>
    <row r="16" ht="14.25" customHeight="1">
      <c r="A16" s="8" t="s">
        <v>235</v>
      </c>
      <c r="B16" s="8" t="s">
        <v>237</v>
      </c>
      <c r="C16" s="8" t="s">
        <v>50</v>
      </c>
      <c r="D16" s="8" t="s">
        <v>238</v>
      </c>
      <c r="E16" s="8" t="s">
        <v>138</v>
      </c>
      <c r="F16" s="8" t="s">
        <v>153</v>
      </c>
      <c r="G16" s="8" t="s">
        <v>221</v>
      </c>
      <c r="H16" s="8" t="s">
        <v>56</v>
      </c>
      <c r="I16" s="8" t="s">
        <v>239</v>
      </c>
      <c r="J16" s="10" t="s">
        <v>59</v>
      </c>
      <c r="K16" s="8" t="s">
        <v>240</v>
      </c>
      <c r="L16" s="8" t="s">
        <v>241</v>
      </c>
      <c r="M16" s="8" t="s">
        <v>209</v>
      </c>
      <c r="N16" s="11" t="s">
        <v>107</v>
      </c>
      <c r="O16" s="8" t="s">
        <v>129</v>
      </c>
    </row>
    <row r="17" ht="14.25" customHeight="1">
      <c r="A17" s="8" t="s">
        <v>244</v>
      </c>
      <c r="B17" s="8" t="s">
        <v>246</v>
      </c>
      <c r="C17" s="8" t="s">
        <v>50</v>
      </c>
      <c r="D17" s="8" t="s">
        <v>51</v>
      </c>
      <c r="E17" s="8" t="s">
        <v>247</v>
      </c>
      <c r="F17" s="8" t="s">
        <v>160</v>
      </c>
      <c r="G17" s="8" t="s">
        <v>248</v>
      </c>
      <c r="H17" s="8" t="s">
        <v>73</v>
      </c>
      <c r="I17" s="8" t="s">
        <v>250</v>
      </c>
      <c r="J17" s="10" t="s">
        <v>59</v>
      </c>
      <c r="K17" s="8" t="s">
        <v>251</v>
      </c>
      <c r="L17" s="8" t="s">
        <v>253</v>
      </c>
      <c r="M17" s="8" t="s">
        <v>254</v>
      </c>
      <c r="N17" s="11" t="s">
        <v>65</v>
      </c>
      <c r="O17" s="8" t="s">
        <v>67</v>
      </c>
    </row>
    <row r="18" ht="14.25" customHeight="1">
      <c r="A18" s="8" t="s">
        <v>256</v>
      </c>
      <c r="B18" s="8" t="s">
        <v>257</v>
      </c>
      <c r="C18" s="8" t="s">
        <v>50</v>
      </c>
      <c r="D18" s="8" t="s">
        <v>71</v>
      </c>
      <c r="E18" s="8" t="s">
        <v>247</v>
      </c>
      <c r="F18" s="8" t="s">
        <v>160</v>
      </c>
      <c r="G18" s="8" t="s">
        <v>248</v>
      </c>
      <c r="H18" s="8" t="s">
        <v>56</v>
      </c>
      <c r="I18" s="8" t="s">
        <v>260</v>
      </c>
      <c r="J18" s="10" t="s">
        <v>59</v>
      </c>
      <c r="K18" s="8" t="s">
        <v>262</v>
      </c>
      <c r="L18" s="8" t="s">
        <v>263</v>
      </c>
      <c r="M18" s="8" t="s">
        <v>254</v>
      </c>
      <c r="N18" s="11" t="s">
        <v>65</v>
      </c>
      <c r="O18" s="8" t="s">
        <v>67</v>
      </c>
    </row>
    <row r="19" ht="14.25" customHeight="1">
      <c r="A19" s="8" t="s">
        <v>264</v>
      </c>
      <c r="B19" s="8" t="s">
        <v>265</v>
      </c>
      <c r="C19" s="8" t="s">
        <v>50</v>
      </c>
      <c r="D19" s="8" t="s">
        <v>71</v>
      </c>
      <c r="E19" s="8" t="s">
        <v>247</v>
      </c>
      <c r="F19" s="8" t="s">
        <v>160</v>
      </c>
      <c r="G19" s="8" t="s">
        <v>248</v>
      </c>
      <c r="H19" s="8" t="s">
        <v>56</v>
      </c>
      <c r="I19" s="8" t="s">
        <v>268</v>
      </c>
      <c r="J19" s="10" t="s">
        <v>59</v>
      </c>
      <c r="K19" s="8" t="s">
        <v>269</v>
      </c>
      <c r="L19" s="8" t="s">
        <v>244</v>
      </c>
      <c r="M19" s="8" t="s">
        <v>254</v>
      </c>
      <c r="N19" s="11" t="s">
        <v>107</v>
      </c>
      <c r="O19" s="8" t="s">
        <v>129</v>
      </c>
    </row>
    <row r="20" ht="14.25" customHeight="1">
      <c r="A20" s="8" t="s">
        <v>271</v>
      </c>
      <c r="B20" s="8" t="s">
        <v>272</v>
      </c>
      <c r="C20" s="8" t="s">
        <v>50</v>
      </c>
      <c r="D20" s="8" t="s">
        <v>71</v>
      </c>
      <c r="E20" s="8" t="s">
        <v>247</v>
      </c>
      <c r="F20" s="8" t="s">
        <v>160</v>
      </c>
      <c r="G20" s="8" t="s">
        <v>248</v>
      </c>
      <c r="H20" s="8" t="s">
        <v>56</v>
      </c>
      <c r="I20" s="8" t="s">
        <v>274</v>
      </c>
      <c r="J20" s="10" t="s">
        <v>59</v>
      </c>
      <c r="K20" s="8" t="s">
        <v>276</v>
      </c>
      <c r="L20" s="8" t="s">
        <v>277</v>
      </c>
      <c r="M20" s="8" t="s">
        <v>254</v>
      </c>
      <c r="N20" s="11" t="s">
        <v>65</v>
      </c>
      <c r="O20" s="8" t="s">
        <v>67</v>
      </c>
    </row>
    <row r="21" ht="14.25" customHeight="1">
      <c r="A21" s="8" t="s">
        <v>279</v>
      </c>
      <c r="B21" s="8" t="s">
        <v>280</v>
      </c>
      <c r="C21" s="8" t="s">
        <v>50</v>
      </c>
      <c r="D21" s="8" t="s">
        <v>71</v>
      </c>
      <c r="E21" s="8" t="s">
        <v>247</v>
      </c>
      <c r="F21" s="8" t="s">
        <v>160</v>
      </c>
      <c r="G21" s="8" t="s">
        <v>248</v>
      </c>
      <c r="H21" s="8" t="s">
        <v>56</v>
      </c>
      <c r="I21" s="8" t="s">
        <v>282</v>
      </c>
      <c r="J21" s="10" t="s">
        <v>59</v>
      </c>
      <c r="K21" s="8" t="s">
        <v>284</v>
      </c>
      <c r="L21" s="8" t="s">
        <v>271</v>
      </c>
      <c r="M21" s="8" t="s">
        <v>254</v>
      </c>
      <c r="N21" s="11" t="s">
        <v>107</v>
      </c>
      <c r="O21" s="8" t="s">
        <v>129</v>
      </c>
    </row>
    <row r="22" ht="14.25" customHeight="1">
      <c r="A22" s="8" t="s">
        <v>285</v>
      </c>
      <c r="B22" s="8" t="s">
        <v>287</v>
      </c>
      <c r="C22" s="8" t="s">
        <v>50</v>
      </c>
      <c r="D22" s="8" t="s">
        <v>71</v>
      </c>
      <c r="E22" s="8" t="s">
        <v>247</v>
      </c>
      <c r="F22" s="8" t="s">
        <v>160</v>
      </c>
      <c r="G22" s="8" t="s">
        <v>248</v>
      </c>
      <c r="H22" s="8" t="s">
        <v>56</v>
      </c>
      <c r="I22" s="8" t="s">
        <v>289</v>
      </c>
      <c r="J22" s="10" t="s">
        <v>59</v>
      </c>
      <c r="K22" s="8" t="s">
        <v>292</v>
      </c>
      <c r="L22" s="8" t="s">
        <v>293</v>
      </c>
      <c r="M22" s="8" t="s">
        <v>254</v>
      </c>
      <c r="N22" s="11" t="s">
        <v>65</v>
      </c>
      <c r="O22" s="8" t="s">
        <v>67</v>
      </c>
    </row>
    <row r="23" ht="14.25" customHeight="1">
      <c r="A23" s="8" t="s">
        <v>295</v>
      </c>
      <c r="B23" s="8" t="s">
        <v>296</v>
      </c>
      <c r="C23" s="8" t="s">
        <v>50</v>
      </c>
      <c r="D23" s="8" t="s">
        <v>238</v>
      </c>
      <c r="E23" s="8" t="s">
        <v>247</v>
      </c>
      <c r="F23" s="8" t="s">
        <v>160</v>
      </c>
      <c r="G23" s="8" t="s">
        <v>248</v>
      </c>
      <c r="H23" s="8" t="s">
        <v>56</v>
      </c>
      <c r="I23" s="8" t="s">
        <v>300</v>
      </c>
      <c r="J23" s="10" t="s">
        <v>59</v>
      </c>
      <c r="K23" s="8" t="s">
        <v>301</v>
      </c>
      <c r="L23" s="8" t="s">
        <v>302</v>
      </c>
      <c r="M23" s="8" t="s">
        <v>150</v>
      </c>
      <c r="N23" s="11" t="s">
        <v>107</v>
      </c>
      <c r="O23" s="8" t="s">
        <v>129</v>
      </c>
    </row>
    <row r="24" ht="14.25" customHeight="1">
      <c r="A24" s="8" t="s">
        <v>304</v>
      </c>
      <c r="B24" s="8" t="s">
        <v>306</v>
      </c>
      <c r="C24" s="8" t="s">
        <v>50</v>
      </c>
      <c r="D24" s="8" t="s">
        <v>51</v>
      </c>
      <c r="E24" s="8" t="s">
        <v>138</v>
      </c>
      <c r="F24" s="8" t="s">
        <v>168</v>
      </c>
      <c r="G24" s="8" t="s">
        <v>307</v>
      </c>
      <c r="H24" s="8" t="s">
        <v>73</v>
      </c>
      <c r="I24" s="8" t="s">
        <v>308</v>
      </c>
      <c r="J24" s="10" t="s">
        <v>97</v>
      </c>
      <c r="K24" s="8" t="s">
        <v>310</v>
      </c>
      <c r="L24" s="8" t="s">
        <v>285</v>
      </c>
      <c r="M24" s="8" t="s">
        <v>150</v>
      </c>
      <c r="N24" s="11" t="s">
        <v>65</v>
      </c>
      <c r="O24" s="8" t="s">
        <v>67</v>
      </c>
    </row>
    <row r="25" ht="14.25" customHeight="1">
      <c r="A25" s="8" t="s">
        <v>312</v>
      </c>
      <c r="B25" s="8" t="s">
        <v>313</v>
      </c>
      <c r="C25" s="8" t="s">
        <v>50</v>
      </c>
      <c r="D25" s="8" t="s">
        <v>51</v>
      </c>
      <c r="E25" s="8" t="s">
        <v>138</v>
      </c>
      <c r="F25" s="8" t="s">
        <v>168</v>
      </c>
      <c r="G25" s="8" t="s">
        <v>307</v>
      </c>
      <c r="H25" s="8" t="s">
        <v>56</v>
      </c>
      <c r="I25" s="8" t="s">
        <v>316</v>
      </c>
      <c r="J25" s="10" t="s">
        <v>97</v>
      </c>
      <c r="K25" s="8" t="s">
        <v>318</v>
      </c>
      <c r="L25" s="8" t="s">
        <v>304</v>
      </c>
      <c r="M25" s="8" t="s">
        <v>150</v>
      </c>
      <c r="N25" s="11" t="s">
        <v>107</v>
      </c>
      <c r="O25" s="8" t="s">
        <v>129</v>
      </c>
    </row>
    <row r="26" ht="14.25" customHeight="1">
      <c r="A26" s="8" t="s">
        <v>320</v>
      </c>
      <c r="B26" s="8" t="s">
        <v>322</v>
      </c>
      <c r="C26" s="8" t="s">
        <v>50</v>
      </c>
      <c r="D26" s="8" t="s">
        <v>238</v>
      </c>
      <c r="E26" s="8" t="s">
        <v>324</v>
      </c>
      <c r="F26" s="8" t="s">
        <v>172</v>
      </c>
      <c r="G26" s="8" t="s">
        <v>325</v>
      </c>
      <c r="H26" s="8" t="s">
        <v>73</v>
      </c>
      <c r="I26" s="8" t="s">
        <v>328</v>
      </c>
      <c r="J26" s="10" t="s">
        <v>59</v>
      </c>
      <c r="K26" s="8" t="s">
        <v>330</v>
      </c>
      <c r="L26" s="8" t="s">
        <v>331</v>
      </c>
      <c r="M26" s="8" t="s">
        <v>299</v>
      </c>
      <c r="N26" s="11" t="s">
        <v>65</v>
      </c>
      <c r="O26" s="8" t="s">
        <v>67</v>
      </c>
    </row>
    <row r="27" ht="14.25" customHeight="1">
      <c r="A27" s="8" t="s">
        <v>334</v>
      </c>
      <c r="B27" s="8" t="s">
        <v>335</v>
      </c>
      <c r="C27" s="8" t="s">
        <v>50</v>
      </c>
      <c r="D27" s="8" t="s">
        <v>238</v>
      </c>
      <c r="E27" s="8" t="s">
        <v>324</v>
      </c>
      <c r="F27" s="8" t="s">
        <v>172</v>
      </c>
      <c r="G27" s="8" t="s">
        <v>325</v>
      </c>
      <c r="H27" s="8" t="s">
        <v>56</v>
      </c>
      <c r="I27" s="8" t="s">
        <v>336</v>
      </c>
      <c r="J27" s="10" t="s">
        <v>59</v>
      </c>
      <c r="K27" s="8" t="s">
        <v>338</v>
      </c>
      <c r="L27" s="8" t="s">
        <v>339</v>
      </c>
      <c r="M27" s="8" t="s">
        <v>299</v>
      </c>
      <c r="N27" s="11" t="s">
        <v>65</v>
      </c>
      <c r="O27" s="8" t="s">
        <v>67</v>
      </c>
    </row>
    <row r="28" ht="14.25" customHeight="1">
      <c r="A28" s="8" t="s">
        <v>342</v>
      </c>
      <c r="B28" s="8" t="s">
        <v>343</v>
      </c>
      <c r="C28" s="8" t="s">
        <v>50</v>
      </c>
      <c r="D28" s="8" t="s">
        <v>238</v>
      </c>
      <c r="E28" s="8" t="s">
        <v>324</v>
      </c>
      <c r="F28" s="8" t="s">
        <v>172</v>
      </c>
      <c r="G28" s="8" t="s">
        <v>325</v>
      </c>
      <c r="H28" s="8" t="s">
        <v>56</v>
      </c>
      <c r="I28" s="8" t="s">
        <v>346</v>
      </c>
      <c r="J28" s="10" t="s">
        <v>59</v>
      </c>
      <c r="K28" s="8" t="s">
        <v>347</v>
      </c>
      <c r="L28" s="8" t="s">
        <v>349</v>
      </c>
      <c r="M28" s="8" t="s">
        <v>299</v>
      </c>
      <c r="N28" s="11" t="s">
        <v>107</v>
      </c>
      <c r="O28" s="8" t="s">
        <v>129</v>
      </c>
    </row>
    <row r="29" ht="14.25" customHeight="1">
      <c r="A29" s="8" t="s">
        <v>350</v>
      </c>
      <c r="B29" s="8" t="s">
        <v>351</v>
      </c>
      <c r="C29" s="8" t="s">
        <v>50</v>
      </c>
      <c r="D29" s="8" t="s">
        <v>238</v>
      </c>
      <c r="E29" s="8" t="s">
        <v>324</v>
      </c>
      <c r="F29" s="8" t="s">
        <v>172</v>
      </c>
      <c r="G29" s="8" t="s">
        <v>325</v>
      </c>
      <c r="H29" s="8" t="s">
        <v>56</v>
      </c>
      <c r="I29" s="8" t="s">
        <v>353</v>
      </c>
      <c r="J29" s="10" t="s">
        <v>59</v>
      </c>
      <c r="K29" s="8" t="s">
        <v>355</v>
      </c>
      <c r="L29" s="8" t="s">
        <v>356</v>
      </c>
      <c r="M29" s="8" t="s">
        <v>299</v>
      </c>
      <c r="N29" s="11" t="s">
        <v>65</v>
      </c>
      <c r="O29" s="8" t="s">
        <v>67</v>
      </c>
    </row>
    <row r="30" ht="14.25" customHeight="1">
      <c r="A30" s="8" t="s">
        <v>357</v>
      </c>
      <c r="B30" s="8" t="s">
        <v>359</v>
      </c>
      <c r="C30" s="8" t="s">
        <v>50</v>
      </c>
      <c r="D30" s="8" t="s">
        <v>238</v>
      </c>
      <c r="E30" s="8" t="s">
        <v>324</v>
      </c>
      <c r="F30" s="8" t="s">
        <v>172</v>
      </c>
      <c r="G30" s="8" t="s">
        <v>325</v>
      </c>
      <c r="H30" s="8" t="s">
        <v>56</v>
      </c>
      <c r="I30" s="8" t="s">
        <v>361</v>
      </c>
      <c r="J30" s="10" t="s">
        <v>59</v>
      </c>
      <c r="K30" s="8" t="s">
        <v>362</v>
      </c>
      <c r="L30" s="8" t="s">
        <v>342</v>
      </c>
      <c r="M30" s="8" t="s">
        <v>299</v>
      </c>
      <c r="N30" s="11" t="s">
        <v>65</v>
      </c>
      <c r="O30" s="8" t="s">
        <v>67</v>
      </c>
    </row>
    <row r="31" ht="14.25" customHeight="1">
      <c r="A31" s="8" t="s">
        <v>365</v>
      </c>
      <c r="B31" s="8" t="s">
        <v>366</v>
      </c>
      <c r="C31" s="8" t="s">
        <v>50</v>
      </c>
      <c r="D31" s="8" t="s">
        <v>238</v>
      </c>
      <c r="E31" s="8" t="s">
        <v>367</v>
      </c>
      <c r="F31" s="8" t="s">
        <v>177</v>
      </c>
      <c r="G31" s="8" t="s">
        <v>369</v>
      </c>
      <c r="H31" s="8" t="s">
        <v>56</v>
      </c>
      <c r="I31" s="8" t="s">
        <v>371</v>
      </c>
      <c r="J31" s="10" t="s">
        <v>59</v>
      </c>
      <c r="K31" s="8" t="s">
        <v>372</v>
      </c>
      <c r="L31" s="8" t="s">
        <v>373</v>
      </c>
      <c r="M31" s="8" t="s">
        <v>210</v>
      </c>
      <c r="N31" s="11" t="s">
        <v>65</v>
      </c>
      <c r="O31" s="8" t="s">
        <v>67</v>
      </c>
    </row>
    <row r="32" ht="14.25" customHeight="1">
      <c r="A32" s="8" t="s">
        <v>375</v>
      </c>
      <c r="B32" s="8" t="s">
        <v>377</v>
      </c>
      <c r="C32" s="8" t="s">
        <v>50</v>
      </c>
      <c r="D32" s="8" t="s">
        <v>238</v>
      </c>
      <c r="E32" s="8" t="s">
        <v>367</v>
      </c>
      <c r="F32" s="8" t="s">
        <v>177</v>
      </c>
      <c r="G32" s="8" t="s">
        <v>369</v>
      </c>
      <c r="H32" s="8" t="s">
        <v>73</v>
      </c>
      <c r="I32" s="8" t="s">
        <v>380</v>
      </c>
      <c r="J32" s="10" t="s">
        <v>59</v>
      </c>
      <c r="K32" s="8" t="s">
        <v>381</v>
      </c>
      <c r="L32" s="8" t="s">
        <v>334</v>
      </c>
      <c r="M32" s="8" t="s">
        <v>299</v>
      </c>
      <c r="N32" s="11" t="s">
        <v>65</v>
      </c>
      <c r="O32" s="8" t="s">
        <v>67</v>
      </c>
    </row>
    <row r="33" ht="14.25" customHeight="1">
      <c r="A33" s="8" t="s">
        <v>382</v>
      </c>
      <c r="B33" s="8" t="s">
        <v>383</v>
      </c>
      <c r="C33" s="8" t="s">
        <v>50</v>
      </c>
      <c r="D33" s="8" t="s">
        <v>238</v>
      </c>
      <c r="E33" s="8" t="s">
        <v>367</v>
      </c>
      <c r="F33" s="8" t="s">
        <v>177</v>
      </c>
      <c r="G33" s="8" t="s">
        <v>369</v>
      </c>
      <c r="H33" s="8" t="s">
        <v>73</v>
      </c>
      <c r="I33" s="8" t="s">
        <v>386</v>
      </c>
      <c r="J33" s="10" t="s">
        <v>59</v>
      </c>
      <c r="K33" s="8" t="s">
        <v>388</v>
      </c>
      <c r="L33" s="8" t="s">
        <v>375</v>
      </c>
      <c r="M33" s="8" t="s">
        <v>299</v>
      </c>
      <c r="N33" s="11" t="s">
        <v>65</v>
      </c>
      <c r="O33" s="8" t="s">
        <v>67</v>
      </c>
    </row>
    <row r="34" ht="14.25" customHeight="1">
      <c r="A34" s="8" t="s">
        <v>392</v>
      </c>
      <c r="B34" s="8" t="s">
        <v>393</v>
      </c>
      <c r="C34" s="8" t="s">
        <v>50</v>
      </c>
      <c r="D34" s="8" t="s">
        <v>238</v>
      </c>
      <c r="E34" s="8" t="s">
        <v>367</v>
      </c>
      <c r="F34" s="8" t="s">
        <v>177</v>
      </c>
      <c r="G34" s="8" t="s">
        <v>369</v>
      </c>
      <c r="H34" s="8" t="s">
        <v>56</v>
      </c>
      <c r="I34" s="8" t="s">
        <v>397</v>
      </c>
      <c r="J34" s="10" t="s">
        <v>59</v>
      </c>
      <c r="K34" s="8" t="s">
        <v>398</v>
      </c>
      <c r="L34" s="8" t="s">
        <v>365</v>
      </c>
      <c r="M34" s="8" t="s">
        <v>150</v>
      </c>
      <c r="N34" s="11" t="s">
        <v>65</v>
      </c>
      <c r="O34" s="8" t="s">
        <v>67</v>
      </c>
    </row>
    <row r="35" ht="14.25" customHeight="1">
      <c r="A35" s="8" t="s">
        <v>401</v>
      </c>
      <c r="B35" s="8" t="s">
        <v>402</v>
      </c>
      <c r="C35" s="8" t="s">
        <v>50</v>
      </c>
      <c r="D35" s="8" t="s">
        <v>238</v>
      </c>
      <c r="E35" s="8" t="s">
        <v>367</v>
      </c>
      <c r="F35" s="8" t="s">
        <v>177</v>
      </c>
      <c r="G35" s="8" t="s">
        <v>369</v>
      </c>
      <c r="H35" s="8" t="s">
        <v>56</v>
      </c>
      <c r="I35" s="8" t="s">
        <v>404</v>
      </c>
      <c r="J35" s="10" t="s">
        <v>59</v>
      </c>
      <c r="K35" s="8" t="s">
        <v>406</v>
      </c>
      <c r="L35" s="8" t="s">
        <v>365</v>
      </c>
      <c r="M35" s="8" t="s">
        <v>150</v>
      </c>
      <c r="N35" s="11" t="s">
        <v>65</v>
      </c>
      <c r="O35" s="8" t="s">
        <v>67</v>
      </c>
    </row>
    <row r="36" ht="14.25" customHeight="1">
      <c r="A36" s="8" t="s">
        <v>408</v>
      </c>
      <c r="B36" s="8" t="s">
        <v>410</v>
      </c>
      <c r="C36" s="8" t="s">
        <v>50</v>
      </c>
      <c r="D36" s="8" t="s">
        <v>238</v>
      </c>
      <c r="E36" s="8" t="s">
        <v>411</v>
      </c>
      <c r="F36" s="8" t="s">
        <v>168</v>
      </c>
      <c r="G36" s="8" t="s">
        <v>412</v>
      </c>
      <c r="H36" s="8" t="s">
        <v>56</v>
      </c>
      <c r="I36" s="8" t="s">
        <v>413</v>
      </c>
      <c r="J36" s="10" t="s">
        <v>59</v>
      </c>
      <c r="K36" s="8" t="s">
        <v>415</v>
      </c>
      <c r="L36" s="8" t="s">
        <v>417</v>
      </c>
      <c r="M36" s="8" t="s">
        <v>255</v>
      </c>
      <c r="N36" s="11" t="s">
        <v>65</v>
      </c>
      <c r="O36" s="8" t="s">
        <v>67</v>
      </c>
    </row>
    <row r="37" ht="14.25" customHeight="1">
      <c r="A37" s="8" t="s">
        <v>418</v>
      </c>
      <c r="B37" s="8" t="s">
        <v>420</v>
      </c>
      <c r="C37" s="8" t="s">
        <v>50</v>
      </c>
      <c r="D37" s="8" t="s">
        <v>238</v>
      </c>
      <c r="E37" s="8" t="s">
        <v>411</v>
      </c>
      <c r="F37" s="8" t="s">
        <v>168</v>
      </c>
      <c r="G37" s="8" t="s">
        <v>412</v>
      </c>
      <c r="H37" s="8" t="s">
        <v>56</v>
      </c>
      <c r="I37" s="8" t="s">
        <v>423</v>
      </c>
      <c r="J37" s="10" t="s">
        <v>59</v>
      </c>
      <c r="K37" s="8" t="s">
        <v>425</v>
      </c>
      <c r="L37" s="8" t="s">
        <v>426</v>
      </c>
      <c r="M37" s="8" t="s">
        <v>255</v>
      </c>
      <c r="N37" s="11" t="s">
        <v>65</v>
      </c>
      <c r="O37" s="8" t="s">
        <v>67</v>
      </c>
    </row>
    <row r="38" ht="14.25" customHeight="1">
      <c r="A38" s="8" t="s">
        <v>429</v>
      </c>
      <c r="B38" s="8" t="s">
        <v>430</v>
      </c>
      <c r="C38" s="8" t="s">
        <v>50</v>
      </c>
      <c r="D38" s="8" t="s">
        <v>238</v>
      </c>
      <c r="E38" s="8" t="s">
        <v>411</v>
      </c>
      <c r="F38" s="8" t="s">
        <v>168</v>
      </c>
      <c r="G38" s="8" t="s">
        <v>412</v>
      </c>
      <c r="H38" s="8" t="s">
        <v>56</v>
      </c>
      <c r="I38" s="8" t="s">
        <v>435</v>
      </c>
      <c r="J38" s="10" t="s">
        <v>59</v>
      </c>
      <c r="K38" s="8" t="s">
        <v>436</v>
      </c>
      <c r="L38" s="8" t="s">
        <v>438</v>
      </c>
      <c r="M38" s="8" t="s">
        <v>255</v>
      </c>
      <c r="N38" s="11" t="s">
        <v>107</v>
      </c>
      <c r="O38" s="8" t="s">
        <v>129</v>
      </c>
    </row>
    <row r="39" ht="14.25" customHeight="1">
      <c r="A39" s="8" t="s">
        <v>442</v>
      </c>
      <c r="B39" s="8" t="s">
        <v>443</v>
      </c>
      <c r="C39" s="8" t="s">
        <v>50</v>
      </c>
      <c r="D39" s="8" t="s">
        <v>71</v>
      </c>
      <c r="E39" s="8" t="s">
        <v>411</v>
      </c>
      <c r="F39" s="8" t="s">
        <v>168</v>
      </c>
      <c r="G39" s="8" t="s">
        <v>412</v>
      </c>
      <c r="H39" s="8" t="s">
        <v>56</v>
      </c>
      <c r="I39" s="8" t="s">
        <v>447</v>
      </c>
      <c r="J39" s="10" t="s">
        <v>59</v>
      </c>
      <c r="K39" s="8" t="s">
        <v>448</v>
      </c>
      <c r="L39" s="8" t="s">
        <v>449</v>
      </c>
      <c r="M39" s="8" t="s">
        <v>255</v>
      </c>
      <c r="N39" s="11" t="s">
        <v>107</v>
      </c>
      <c r="O39" s="8" t="s">
        <v>129</v>
      </c>
    </row>
    <row r="40" ht="14.25" customHeight="1">
      <c r="A40" s="8" t="s">
        <v>451</v>
      </c>
      <c r="B40" s="8" t="s">
        <v>453</v>
      </c>
      <c r="C40" s="8" t="s">
        <v>50</v>
      </c>
      <c r="D40" s="8" t="s">
        <v>454</v>
      </c>
      <c r="E40" s="8" t="s">
        <v>138</v>
      </c>
      <c r="F40" s="8" t="s">
        <v>139</v>
      </c>
      <c r="G40" s="8" t="s">
        <v>457</v>
      </c>
      <c r="H40" s="8" t="s">
        <v>73</v>
      </c>
      <c r="I40" s="8" t="s">
        <v>459</v>
      </c>
      <c r="J40" s="10" t="s">
        <v>97</v>
      </c>
      <c r="K40" s="8" t="s">
        <v>460</v>
      </c>
      <c r="L40" s="8" t="s">
        <v>349</v>
      </c>
      <c r="M40" s="8" t="s">
        <v>299</v>
      </c>
      <c r="N40" s="11" t="s">
        <v>65</v>
      </c>
      <c r="O40" s="8" t="s">
        <v>67</v>
      </c>
    </row>
    <row r="41" ht="14.25" customHeight="1">
      <c r="A41" s="8" t="s">
        <v>463</v>
      </c>
      <c r="B41" s="8" t="s">
        <v>464</v>
      </c>
      <c r="C41" s="8" t="s">
        <v>50</v>
      </c>
      <c r="D41" s="8" t="s">
        <v>454</v>
      </c>
      <c r="E41" s="8" t="s">
        <v>138</v>
      </c>
      <c r="F41" s="8" t="s">
        <v>139</v>
      </c>
      <c r="G41" s="8" t="s">
        <v>457</v>
      </c>
      <c r="H41" s="8" t="s">
        <v>73</v>
      </c>
      <c r="I41" s="8" t="s">
        <v>467</v>
      </c>
      <c r="J41" s="10" t="s">
        <v>97</v>
      </c>
      <c r="K41" s="8" t="s">
        <v>468</v>
      </c>
      <c r="L41" s="8" t="s">
        <v>451</v>
      </c>
      <c r="M41" s="8" t="s">
        <v>469</v>
      </c>
      <c r="N41" s="11" t="s">
        <v>107</v>
      </c>
      <c r="O41" s="8" t="s">
        <v>129</v>
      </c>
    </row>
    <row r="42" ht="14.25" customHeight="1">
      <c r="A42" s="8" t="s">
        <v>471</v>
      </c>
      <c r="B42" s="8" t="s">
        <v>473</v>
      </c>
      <c r="C42" s="8" t="s">
        <v>50</v>
      </c>
      <c r="D42" s="8" t="s">
        <v>51</v>
      </c>
      <c r="E42" s="8" t="s">
        <v>474</v>
      </c>
      <c r="F42" s="8" t="s">
        <v>180</v>
      </c>
      <c r="G42" s="8" t="s">
        <v>475</v>
      </c>
      <c r="H42" s="8" t="s">
        <v>73</v>
      </c>
      <c r="I42" s="8" t="s">
        <v>478</v>
      </c>
      <c r="J42" s="10" t="s">
        <v>97</v>
      </c>
      <c r="K42" s="8" t="s">
        <v>479</v>
      </c>
      <c r="L42" s="8" t="s">
        <v>480</v>
      </c>
      <c r="M42" s="8" t="s">
        <v>341</v>
      </c>
      <c r="N42" s="11" t="s">
        <v>65</v>
      </c>
      <c r="O42" s="8" t="s">
        <v>67</v>
      </c>
    </row>
    <row r="43" ht="14.25" customHeight="1">
      <c r="A43" s="8" t="s">
        <v>481</v>
      </c>
      <c r="B43" s="8" t="s">
        <v>483</v>
      </c>
      <c r="C43" s="8" t="s">
        <v>50</v>
      </c>
      <c r="D43" s="8" t="s">
        <v>51</v>
      </c>
      <c r="E43" s="8" t="s">
        <v>474</v>
      </c>
      <c r="F43" s="8" t="s">
        <v>180</v>
      </c>
      <c r="G43" s="8" t="s">
        <v>475</v>
      </c>
      <c r="H43" s="8" t="s">
        <v>56</v>
      </c>
      <c r="I43" s="8" t="s">
        <v>485</v>
      </c>
      <c r="J43" s="10" t="s">
        <v>97</v>
      </c>
      <c r="K43" s="8" t="s">
        <v>486</v>
      </c>
      <c r="L43" s="8" t="s">
        <v>471</v>
      </c>
      <c r="M43" s="8" t="s">
        <v>341</v>
      </c>
      <c r="N43" s="11" t="s">
        <v>107</v>
      </c>
      <c r="O43" s="8" t="s">
        <v>129</v>
      </c>
    </row>
    <row r="44" ht="14.25" customHeight="1">
      <c r="A44" s="8" t="s">
        <v>489</v>
      </c>
      <c r="B44" s="8" t="s">
        <v>490</v>
      </c>
      <c r="C44" s="8" t="s">
        <v>50</v>
      </c>
      <c r="D44" s="8" t="s">
        <v>71</v>
      </c>
      <c r="E44" s="8" t="s">
        <v>474</v>
      </c>
      <c r="F44" s="8" t="s">
        <v>180</v>
      </c>
      <c r="G44" s="8" t="s">
        <v>475</v>
      </c>
      <c r="H44" s="8" t="s">
        <v>56</v>
      </c>
      <c r="I44" s="8" t="s">
        <v>492</v>
      </c>
      <c r="J44" s="10" t="s">
        <v>59</v>
      </c>
      <c r="K44" s="8" t="s">
        <v>493</v>
      </c>
      <c r="L44" s="8" t="s">
        <v>471</v>
      </c>
      <c r="M44" s="8" t="s">
        <v>341</v>
      </c>
      <c r="N44" s="11" t="s">
        <v>65</v>
      </c>
      <c r="O44" s="8" t="s">
        <v>67</v>
      </c>
    </row>
    <row r="45" ht="14.25" customHeight="1">
      <c r="A45" s="8" t="s">
        <v>495</v>
      </c>
      <c r="B45" s="8" t="s">
        <v>497</v>
      </c>
      <c r="C45" s="8" t="s">
        <v>50</v>
      </c>
      <c r="D45" s="8" t="s">
        <v>71</v>
      </c>
      <c r="E45" s="8" t="s">
        <v>499</v>
      </c>
      <c r="F45" s="8" t="s">
        <v>54</v>
      </c>
      <c r="G45" s="8" t="s">
        <v>70</v>
      </c>
      <c r="H45" s="8" t="s">
        <v>56</v>
      </c>
      <c r="I45" s="8" t="s">
        <v>501</v>
      </c>
      <c r="J45" s="10" t="s">
        <v>59</v>
      </c>
      <c r="K45" s="8" t="s">
        <v>502</v>
      </c>
      <c r="L45" s="8" t="s">
        <v>476</v>
      </c>
      <c r="M45" s="8" t="s">
        <v>210</v>
      </c>
      <c r="N45" s="11" t="s">
        <v>65</v>
      </c>
      <c r="O45" s="8" t="s">
        <v>67</v>
      </c>
    </row>
    <row r="46" ht="14.25" customHeight="1">
      <c r="A46" s="8" t="s">
        <v>505</v>
      </c>
      <c r="B46" s="8" t="s">
        <v>506</v>
      </c>
      <c r="C46" s="8" t="s">
        <v>50</v>
      </c>
      <c r="D46" s="8" t="s">
        <v>71</v>
      </c>
      <c r="E46" s="8" t="s">
        <v>499</v>
      </c>
      <c r="F46" s="8" t="s">
        <v>54</v>
      </c>
      <c r="G46" s="8" t="s">
        <v>70</v>
      </c>
      <c r="H46" s="8" t="s">
        <v>56</v>
      </c>
      <c r="I46" s="8" t="s">
        <v>511</v>
      </c>
      <c r="J46" s="10" t="s">
        <v>59</v>
      </c>
      <c r="K46" s="8" t="s">
        <v>513</v>
      </c>
      <c r="L46" s="8" t="s">
        <v>514</v>
      </c>
      <c r="M46" s="8" t="s">
        <v>210</v>
      </c>
      <c r="N46" s="11" t="s">
        <v>107</v>
      </c>
      <c r="O46" s="8" t="s">
        <v>129</v>
      </c>
    </row>
    <row r="47" ht="14.25" customHeight="1">
      <c r="A47" s="8" t="s">
        <v>516</v>
      </c>
      <c r="B47" s="8" t="s">
        <v>518</v>
      </c>
      <c r="C47" s="8" t="s">
        <v>50</v>
      </c>
      <c r="D47" s="8" t="s">
        <v>238</v>
      </c>
      <c r="E47" s="8" t="s">
        <v>520</v>
      </c>
      <c r="F47" s="8" t="s">
        <v>168</v>
      </c>
      <c r="G47" s="8" t="s">
        <v>521</v>
      </c>
      <c r="H47" s="8" t="s">
        <v>56</v>
      </c>
      <c r="I47" s="8" t="s">
        <v>523</v>
      </c>
      <c r="J47" s="10" t="s">
        <v>59</v>
      </c>
      <c r="K47" s="8" t="s">
        <v>525</v>
      </c>
      <c r="L47" s="8" t="s">
        <v>526</v>
      </c>
      <c r="M47" s="8" t="s">
        <v>254</v>
      </c>
      <c r="N47" s="11" t="s">
        <v>107</v>
      </c>
      <c r="O47" s="8" t="s">
        <v>129</v>
      </c>
    </row>
    <row r="48" ht="14.25" customHeight="1">
      <c r="A48" s="8" t="s">
        <v>527</v>
      </c>
      <c r="B48" s="8" t="s">
        <v>529</v>
      </c>
      <c r="C48" s="8" t="s">
        <v>50</v>
      </c>
      <c r="D48" s="8" t="s">
        <v>71</v>
      </c>
      <c r="E48" s="8" t="s">
        <v>531</v>
      </c>
      <c r="F48" s="8" t="s">
        <v>160</v>
      </c>
      <c r="G48" s="8" t="s">
        <v>248</v>
      </c>
      <c r="H48" s="8" t="s">
        <v>56</v>
      </c>
      <c r="I48" s="8" t="s">
        <v>532</v>
      </c>
      <c r="J48" s="10" t="s">
        <v>97</v>
      </c>
      <c r="K48" s="8" t="s">
        <v>535</v>
      </c>
      <c r="L48" s="8" t="s">
        <v>244</v>
      </c>
      <c r="M48" s="8" t="s">
        <v>254</v>
      </c>
      <c r="N48" s="11" t="s">
        <v>113</v>
      </c>
      <c r="O48" s="8" t="s">
        <v>233</v>
      </c>
    </row>
    <row r="49" ht="14.25" customHeight="1">
      <c r="A49" s="8" t="s">
        <v>537</v>
      </c>
      <c r="B49" s="8" t="s">
        <v>538</v>
      </c>
      <c r="C49" s="8" t="s">
        <v>50</v>
      </c>
      <c r="D49" s="8" t="s">
        <v>238</v>
      </c>
      <c r="E49" s="8" t="s">
        <v>540</v>
      </c>
      <c r="F49" s="8" t="s">
        <v>177</v>
      </c>
      <c r="G49" s="8" t="s">
        <v>325</v>
      </c>
      <c r="H49" s="8" t="s">
        <v>56</v>
      </c>
      <c r="I49" s="8" t="s">
        <v>542</v>
      </c>
      <c r="J49" s="10" t="s">
        <v>59</v>
      </c>
      <c r="K49" s="8" t="s">
        <v>543</v>
      </c>
      <c r="L49" s="8" t="s">
        <v>544</v>
      </c>
      <c r="M49" s="8" t="s">
        <v>299</v>
      </c>
      <c r="N49" s="11" t="s">
        <v>107</v>
      </c>
      <c r="O49" s="8" t="s">
        <v>129</v>
      </c>
    </row>
    <row r="50" ht="14.25" customHeight="1">
      <c r="A50" s="8" t="s">
        <v>547</v>
      </c>
      <c r="B50" s="8" t="s">
        <v>548</v>
      </c>
      <c r="C50" s="8" t="s">
        <v>50</v>
      </c>
      <c r="D50" s="8" t="s">
        <v>454</v>
      </c>
      <c r="E50" s="8" t="s">
        <v>540</v>
      </c>
      <c r="F50" s="8" t="s">
        <v>177</v>
      </c>
      <c r="G50" s="8" t="s">
        <v>325</v>
      </c>
      <c r="H50" s="8" t="s">
        <v>56</v>
      </c>
      <c r="I50" s="8" t="s">
        <v>550</v>
      </c>
      <c r="J50" s="10" t="s">
        <v>97</v>
      </c>
      <c r="K50" s="8" t="s">
        <v>552</v>
      </c>
      <c r="L50" s="8" t="s">
        <v>349</v>
      </c>
      <c r="M50" s="8" t="s">
        <v>210</v>
      </c>
      <c r="N50" s="11" t="s">
        <v>113</v>
      </c>
      <c r="O50" s="8" t="s">
        <v>233</v>
      </c>
    </row>
    <row r="51" ht="14.25" customHeight="1">
      <c r="A51" s="8" t="s">
        <v>555</v>
      </c>
      <c r="B51" s="8" t="s">
        <v>557</v>
      </c>
      <c r="C51" s="8" t="s">
        <v>50</v>
      </c>
      <c r="D51" s="8" t="s">
        <v>71</v>
      </c>
      <c r="E51" s="8" t="s">
        <v>540</v>
      </c>
      <c r="F51" s="8" t="s">
        <v>168</v>
      </c>
      <c r="G51" s="8" t="s">
        <v>559</v>
      </c>
      <c r="H51" s="8" t="s">
        <v>56</v>
      </c>
      <c r="I51" s="8" t="s">
        <v>561</v>
      </c>
      <c r="J51" s="10" t="s">
        <v>59</v>
      </c>
      <c r="K51" s="8" t="s">
        <v>562</v>
      </c>
      <c r="L51" s="8" t="s">
        <v>564</v>
      </c>
      <c r="M51" s="8" t="s">
        <v>150</v>
      </c>
      <c r="N51" s="11" t="s">
        <v>107</v>
      </c>
      <c r="O51" s="8" t="s">
        <v>129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2:O51">
    <cfRule type="expression" dxfId="5" priority="1">
      <formula>$C2="Funcional"</formula>
    </cfRule>
  </conditionalFormatting>
  <conditionalFormatting sqref="J2:J51">
    <cfRule type="expression" dxfId="6" priority="2">
      <formula>J2="Alto"</formula>
    </cfRule>
  </conditionalFormatting>
  <conditionalFormatting sqref="J2:J51">
    <cfRule type="expression" dxfId="7" priority="3">
      <formula>J2="Medio"</formula>
    </cfRule>
  </conditionalFormatting>
  <conditionalFormatting sqref="J2:J51">
    <cfRule type="expression" dxfId="8" priority="4">
      <formula>J2="Bajo"</formula>
    </cfRule>
  </conditionalFormatting>
  <conditionalFormatting sqref="N2:N51">
    <cfRule type="expression" dxfId="9" priority="5">
      <formula>N2="Aprobado"</formula>
    </cfRule>
  </conditionalFormatting>
  <conditionalFormatting sqref="N2:N51">
    <cfRule type="expression" dxfId="10" priority="6">
      <formula>N2="Asignado"</formula>
    </cfRule>
  </conditionalFormatting>
  <conditionalFormatting sqref="N2:N51">
    <cfRule type="expression" dxfId="7" priority="7">
      <formula>N2="Propuesto"</formula>
    </cfRule>
  </conditionalFormatting>
  <conditionalFormatting sqref="N2:N51">
    <cfRule type="expression" dxfId="11" priority="8">
      <formula>N2="Diferido"</formula>
    </cfRule>
  </conditionalFormatting>
  <dataValidations>
    <dataValidation type="list" allowBlank="1" sqref="N2:N51">
      <formula1>"Aprobado,Propuesto,Asignado,Diferido"</formula1>
    </dataValidation>
    <dataValidation type="list" allowBlank="1" sqref="J2:J51">
      <formula1>"Bajo,Medio,Alto"</formula1>
    </dataValidation>
    <dataValidation type="list" allowBlank="1" sqref="C2:C51">
      <formula1>"Funcional,No Funcional"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3" width="65.0"/>
    <col customWidth="1" min="4" max="4" width="24.0"/>
    <col customWidth="1" min="5" max="26" width="9.0"/>
  </cols>
  <sheetData>
    <row r="1" ht="14.25" customHeight="1">
      <c r="A1" s="1" t="s">
        <v>0</v>
      </c>
      <c r="B1" s="2"/>
      <c r="C1" s="2"/>
      <c r="D1" s="3"/>
    </row>
    <row r="2" ht="14.25" customHeight="1"/>
    <row r="3" ht="14.25" customHeight="1">
      <c r="A3" s="4" t="s">
        <v>1</v>
      </c>
      <c r="B3" s="4" t="s">
        <v>2</v>
      </c>
      <c r="C3" s="4" t="s">
        <v>3</v>
      </c>
      <c r="D3" s="4" t="s">
        <v>4</v>
      </c>
    </row>
    <row r="4" ht="14.25" customHeight="1">
      <c r="A4" s="5" t="s">
        <v>5</v>
      </c>
      <c r="B4" s="5" t="s">
        <v>6</v>
      </c>
      <c r="C4" s="5" t="s">
        <v>7</v>
      </c>
      <c r="D4" s="5" t="s">
        <v>8</v>
      </c>
    </row>
    <row r="5" ht="14.25" customHeight="1">
      <c r="A5" s="5" t="s">
        <v>9</v>
      </c>
      <c r="B5" s="5" t="s">
        <v>10</v>
      </c>
      <c r="C5" s="5" t="s">
        <v>11</v>
      </c>
      <c r="D5" s="5" t="s">
        <v>12</v>
      </c>
    </row>
    <row r="6" ht="14.25" customHeight="1">
      <c r="A6" s="5" t="s">
        <v>13</v>
      </c>
      <c r="B6" s="5" t="s">
        <v>14</v>
      </c>
      <c r="C6" s="5" t="s">
        <v>15</v>
      </c>
      <c r="D6" s="5" t="s">
        <v>16</v>
      </c>
    </row>
    <row r="7" ht="14.25" customHeight="1">
      <c r="A7" s="5" t="s">
        <v>17</v>
      </c>
      <c r="B7" s="5" t="s">
        <v>18</v>
      </c>
      <c r="C7" s="5" t="s">
        <v>19</v>
      </c>
      <c r="D7" s="5" t="s">
        <v>20</v>
      </c>
    </row>
    <row r="8" ht="14.25" customHeight="1">
      <c r="A8" s="5" t="s">
        <v>21</v>
      </c>
      <c r="B8" s="5" t="s">
        <v>22</v>
      </c>
      <c r="C8" s="5" t="s">
        <v>23</v>
      </c>
      <c r="D8" s="5" t="s">
        <v>24</v>
      </c>
    </row>
    <row r="9" ht="14.25" customHeight="1">
      <c r="A9" s="5" t="s">
        <v>25</v>
      </c>
      <c r="B9" s="5" t="s">
        <v>26</v>
      </c>
      <c r="C9" s="5" t="s">
        <v>27</v>
      </c>
      <c r="D9" s="5" t="s">
        <v>28</v>
      </c>
    </row>
    <row r="10" ht="14.25" customHeight="1">
      <c r="A10" s="5" t="s">
        <v>29</v>
      </c>
      <c r="B10" s="5" t="s">
        <v>30</v>
      </c>
      <c r="C10" s="5" t="s">
        <v>31</v>
      </c>
      <c r="D10" s="5" t="s">
        <v>32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0"/>
    <col customWidth="1" min="2" max="2" width="24.0"/>
    <col customWidth="1" min="3" max="3" width="76.0"/>
    <col customWidth="1" min="4" max="4" width="28.0"/>
    <col customWidth="1" min="5" max="26" width="9.0"/>
  </cols>
  <sheetData>
    <row r="1" ht="14.25" customHeight="1">
      <c r="A1" s="16" t="s">
        <v>83</v>
      </c>
      <c r="B1" s="16" t="s">
        <v>86</v>
      </c>
      <c r="C1" s="16" t="s">
        <v>88</v>
      </c>
      <c r="D1" s="16" t="s">
        <v>89</v>
      </c>
    </row>
    <row r="2" ht="14.25" customHeight="1">
      <c r="A2" s="18" t="s">
        <v>42</v>
      </c>
      <c r="B2" s="18" t="s">
        <v>59</v>
      </c>
      <c r="C2" s="18" t="s">
        <v>94</v>
      </c>
      <c r="D2" s="18" t="s">
        <v>96</v>
      </c>
    </row>
    <row r="3" ht="14.25" customHeight="1">
      <c r="A3" s="18" t="s">
        <v>42</v>
      </c>
      <c r="B3" s="18" t="s">
        <v>97</v>
      </c>
      <c r="C3" s="18" t="s">
        <v>98</v>
      </c>
      <c r="D3" s="18" t="s">
        <v>96</v>
      </c>
    </row>
    <row r="4" ht="14.25" customHeight="1">
      <c r="A4" s="18" t="s">
        <v>42</v>
      </c>
      <c r="B4" s="18" t="s">
        <v>99</v>
      </c>
      <c r="C4" s="18" t="s">
        <v>102</v>
      </c>
      <c r="D4" s="18" t="s">
        <v>96</v>
      </c>
    </row>
    <row r="5" ht="14.25" customHeight="1">
      <c r="A5" s="18" t="s">
        <v>46</v>
      </c>
      <c r="B5" s="18" t="s">
        <v>65</v>
      </c>
      <c r="C5" s="18" t="s">
        <v>104</v>
      </c>
      <c r="D5" s="18" t="s">
        <v>106</v>
      </c>
    </row>
    <row r="6" ht="14.25" customHeight="1">
      <c r="A6" s="18" t="s">
        <v>46</v>
      </c>
      <c r="B6" s="18" t="s">
        <v>107</v>
      </c>
      <c r="C6" s="18" t="s">
        <v>108</v>
      </c>
      <c r="D6" s="18" t="s">
        <v>111</v>
      </c>
    </row>
    <row r="7" ht="14.25" customHeight="1">
      <c r="A7" s="18" t="s">
        <v>46</v>
      </c>
      <c r="B7" s="18" t="s">
        <v>113</v>
      </c>
      <c r="C7" s="18" t="s">
        <v>114</v>
      </c>
      <c r="D7" s="18" t="s">
        <v>96</v>
      </c>
    </row>
    <row r="8" ht="14.25" customHeight="1">
      <c r="A8" s="18" t="s">
        <v>46</v>
      </c>
      <c r="B8" s="18" t="s">
        <v>115</v>
      </c>
      <c r="C8" s="18" t="s">
        <v>116</v>
      </c>
      <c r="D8" s="18" t="s">
        <v>106</v>
      </c>
    </row>
    <row r="9" ht="14.25" customHeight="1">
      <c r="A9" s="18" t="s">
        <v>119</v>
      </c>
      <c r="B9" s="18" t="s">
        <v>121</v>
      </c>
      <c r="C9" s="18" t="s">
        <v>123</v>
      </c>
      <c r="D9" s="18" t="s">
        <v>124</v>
      </c>
    </row>
    <row r="10" ht="14.25" customHeight="1">
      <c r="A10" s="18" t="s">
        <v>119</v>
      </c>
      <c r="B10" s="18" t="s">
        <v>126</v>
      </c>
      <c r="C10" s="18" t="s">
        <v>127</v>
      </c>
      <c r="D10" s="18" t="s">
        <v>124</v>
      </c>
    </row>
    <row r="11" ht="14.25" customHeight="1">
      <c r="A11" s="18" t="s">
        <v>119</v>
      </c>
      <c r="B11" s="18" t="s">
        <v>130</v>
      </c>
      <c r="C11" s="18" t="s">
        <v>133</v>
      </c>
      <c r="D11" s="18" t="s">
        <v>124</v>
      </c>
    </row>
    <row r="12" ht="14.25" customHeight="1">
      <c r="A12" s="18" t="s">
        <v>119</v>
      </c>
      <c r="B12" s="18" t="s">
        <v>135</v>
      </c>
      <c r="C12" s="18" t="s">
        <v>133</v>
      </c>
      <c r="D12" s="18" t="s">
        <v>124</v>
      </c>
    </row>
    <row r="13" ht="14.25" customHeight="1">
      <c r="A13" s="18" t="s">
        <v>140</v>
      </c>
      <c r="B13" s="18" t="s">
        <v>54</v>
      </c>
      <c r="C13" s="18" t="s">
        <v>143</v>
      </c>
      <c r="D13" s="18" t="s">
        <v>144</v>
      </c>
    </row>
    <row r="14" ht="14.25" customHeight="1">
      <c r="A14" s="18" t="s">
        <v>140</v>
      </c>
      <c r="B14" s="18" t="s">
        <v>139</v>
      </c>
      <c r="C14" s="18" t="s">
        <v>148</v>
      </c>
      <c r="D14" s="18" t="s">
        <v>144</v>
      </c>
    </row>
    <row r="15" ht="14.25" customHeight="1">
      <c r="A15" s="18" t="s">
        <v>140</v>
      </c>
      <c r="B15" s="18" t="s">
        <v>153</v>
      </c>
      <c r="C15" s="18" t="s">
        <v>155</v>
      </c>
      <c r="D15" s="18" t="s">
        <v>144</v>
      </c>
    </row>
    <row r="16" ht="14.25" customHeight="1">
      <c r="A16" s="18" t="s">
        <v>140</v>
      </c>
      <c r="B16" s="18" t="s">
        <v>160</v>
      </c>
      <c r="C16" s="18" t="s">
        <v>162</v>
      </c>
      <c r="D16" s="18" t="s">
        <v>144</v>
      </c>
    </row>
    <row r="17" ht="14.25" customHeight="1">
      <c r="A17" s="18" t="s">
        <v>140</v>
      </c>
      <c r="B17" s="18" t="s">
        <v>168</v>
      </c>
      <c r="C17" s="18" t="s">
        <v>170</v>
      </c>
      <c r="D17" s="18" t="s">
        <v>144</v>
      </c>
    </row>
    <row r="18" ht="14.25" customHeight="1">
      <c r="A18" s="18" t="s">
        <v>140</v>
      </c>
      <c r="B18" s="18" t="s">
        <v>172</v>
      </c>
      <c r="C18" s="18" t="s">
        <v>175</v>
      </c>
      <c r="D18" s="18" t="s">
        <v>144</v>
      </c>
    </row>
    <row r="19" ht="14.25" customHeight="1">
      <c r="A19" s="18" t="s">
        <v>140</v>
      </c>
      <c r="B19" s="18" t="s">
        <v>177</v>
      </c>
      <c r="C19" s="18" t="s">
        <v>178</v>
      </c>
      <c r="D19" s="18" t="s">
        <v>144</v>
      </c>
    </row>
    <row r="20" ht="14.25" customHeight="1">
      <c r="A20" s="18" t="s">
        <v>140</v>
      </c>
      <c r="B20" s="18" t="s">
        <v>180</v>
      </c>
      <c r="C20" s="18" t="s">
        <v>183</v>
      </c>
      <c r="D20" s="18" t="s">
        <v>144</v>
      </c>
    </row>
    <row r="21" ht="14.25" customHeight="1">
      <c r="A21" s="18" t="s">
        <v>140</v>
      </c>
      <c r="B21" s="18" t="s">
        <v>185</v>
      </c>
      <c r="C21" s="18" t="s">
        <v>187</v>
      </c>
      <c r="D21" s="18" t="s">
        <v>144</v>
      </c>
    </row>
    <row r="22" ht="14.25" customHeight="1">
      <c r="A22" s="18" t="s">
        <v>140</v>
      </c>
      <c r="B22" s="18" t="s">
        <v>189</v>
      </c>
      <c r="C22" s="18" t="s">
        <v>190</v>
      </c>
      <c r="D22" s="18" t="s">
        <v>144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