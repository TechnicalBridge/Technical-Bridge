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irto\Downloads\"/>
    </mc:Choice>
  </mc:AlternateContent>
  <xr:revisionPtr revIDLastSave="0" documentId="13_ncr:1_{7B10EEB4-8868-43B7-B3DC-87D342488F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riesgo v2" sheetId="1" r:id="rId1"/>
    <sheet name="Matriz" sheetId="2" r:id="rId2"/>
    <sheet name="Escala NP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H35" i="1"/>
  <c r="I35" i="1" s="1"/>
  <c r="J34" i="1"/>
  <c r="H34" i="1"/>
  <c r="I34" i="1" s="1"/>
  <c r="J33" i="1"/>
  <c r="H33" i="1"/>
  <c r="I33" i="1" s="1"/>
  <c r="J32" i="1"/>
  <c r="H32" i="1"/>
  <c r="I32" i="1" s="1"/>
  <c r="J31" i="1"/>
  <c r="H31" i="1"/>
  <c r="I31" i="1" s="1"/>
  <c r="J30" i="1"/>
  <c r="H30" i="1"/>
  <c r="I30" i="1" s="1"/>
  <c r="J29" i="1"/>
  <c r="H29" i="1"/>
  <c r="I29" i="1" s="1"/>
  <c r="J28" i="1"/>
  <c r="H28" i="1"/>
  <c r="I28" i="1" s="1"/>
  <c r="J27" i="1"/>
  <c r="H27" i="1"/>
  <c r="I27" i="1" s="1"/>
  <c r="J26" i="1"/>
  <c r="H26" i="1"/>
  <c r="I26" i="1" s="1"/>
  <c r="J25" i="1"/>
  <c r="H25" i="1"/>
  <c r="I25" i="1" s="1"/>
  <c r="J24" i="1"/>
  <c r="H24" i="1"/>
  <c r="I24" i="1" s="1"/>
  <c r="J23" i="1"/>
  <c r="H23" i="1"/>
  <c r="I23" i="1" s="1"/>
  <c r="J22" i="1"/>
  <c r="H22" i="1"/>
  <c r="I22" i="1" s="1"/>
  <c r="J21" i="1"/>
  <c r="H21" i="1"/>
  <c r="I21" i="1" s="1"/>
  <c r="J20" i="1"/>
  <c r="H20" i="1"/>
  <c r="I20" i="1" s="1"/>
  <c r="J19" i="1"/>
  <c r="H19" i="1"/>
  <c r="I19" i="1" s="1"/>
  <c r="J18" i="1"/>
  <c r="I18" i="1"/>
  <c r="H18" i="1"/>
  <c r="J17" i="1"/>
  <c r="I17" i="1"/>
  <c r="H17" i="1"/>
  <c r="J16" i="1"/>
  <c r="H16" i="1"/>
  <c r="I16" i="1" s="1"/>
  <c r="J15" i="1"/>
  <c r="I15" i="1"/>
  <c r="H15" i="1"/>
  <c r="J14" i="1"/>
  <c r="H14" i="1"/>
  <c r="I14" i="1" s="1"/>
  <c r="J13" i="1"/>
  <c r="H13" i="1"/>
  <c r="I13" i="1" s="1"/>
  <c r="J12" i="1"/>
  <c r="H12" i="1"/>
  <c r="I12" i="1" s="1"/>
  <c r="J11" i="1"/>
  <c r="I11" i="1"/>
  <c r="H11" i="1"/>
  <c r="J10" i="1"/>
  <c r="H10" i="1"/>
  <c r="I10" i="1" s="1"/>
  <c r="J9" i="1"/>
  <c r="H9" i="1"/>
  <c r="I9" i="1" s="1"/>
  <c r="J8" i="1"/>
  <c r="I8" i="1"/>
  <c r="H8" i="1"/>
  <c r="J7" i="1"/>
  <c r="H7" i="1"/>
  <c r="I7" i="1" s="1"/>
  <c r="J6" i="1"/>
  <c r="I6" i="1"/>
  <c r="H6" i="1"/>
  <c r="J5" i="1"/>
  <c r="H5" i="1"/>
  <c r="I5" i="1" s="1"/>
  <c r="J4" i="1"/>
  <c r="H4" i="1"/>
  <c r="I4" i="1" s="1"/>
  <c r="J3" i="1"/>
  <c r="H3" i="1"/>
  <c r="I3" i="1" s="1"/>
  <c r="J2" i="1"/>
  <c r="I2" i="1"/>
  <c r="H2" i="1"/>
</calcChain>
</file>

<file path=xl/sharedStrings.xml><?xml version="1.0" encoding="utf-8"?>
<sst xmlns="http://schemas.openxmlformats.org/spreadsheetml/2006/main" count="203" uniqueCount="177">
  <si>
    <t>ID</t>
  </si>
  <si>
    <t>Riesgo</t>
  </si>
  <si>
    <t>Descripción</t>
  </si>
  <si>
    <t>Prob. (1-5)</t>
  </si>
  <si>
    <t>Impacto (1-5)</t>
  </si>
  <si>
    <t>Importancia (1-5)</t>
  </si>
  <si>
    <t>Gravedad (1-5)</t>
  </si>
  <si>
    <t>NPR (P*I*Im*G)</t>
  </si>
  <si>
    <t>Nivel NPR</t>
  </si>
  <si>
    <t>Criticidad (P*I)</t>
  </si>
  <si>
    <t>Tratamiento / Mitigación</t>
  </si>
  <si>
    <t>Responsable</t>
  </si>
  <si>
    <t>Matriz de riesgo</t>
  </si>
  <si>
    <t>R-01</t>
  </si>
  <si>
    <t>Fallo de la pasarela de pagos</t>
  </si>
  <si>
    <t>Errores o caídas de Webpay/Mercado Pago provocan pagos duplicados, transacciones fallidas o dinero no acreditado.</t>
  </si>
  <si>
    <t>Reintentos idempotentes, webhooks firmados, conciliación automática y alertas.</t>
  </si>
  <si>
    <t>Martín/Pedro</t>
  </si>
  <si>
    <t>Impacto</t>
  </si>
  <si>
    <t>R-02</t>
  </si>
  <si>
    <t>Desfase de conciliación con APOFYX</t>
  </si>
  <si>
    <t>El pago se procesa pero falla la sincronización con la cartera de APOFYX, dejando la deuda activa.</t>
  </si>
  <si>
    <t>Patrón outbox + reintentos con backoff; job de conciliación periódico.</t>
  </si>
  <si>
    <t>Flavio</t>
  </si>
  <si>
    <t>R-03</t>
  </si>
  <si>
    <t>Exposición de credenciales/API keys</t>
  </si>
  <si>
    <t>Claves de pasarelas, JWT secret o credenciales APOFYX visibles en el repositorio o logs.</t>
  </si>
  <si>
    <t>Secretos fuera del repo (.env.example), cifrado, rotación y revisión de logs.</t>
  </si>
  <si>
    <t>Flavio/Martín</t>
  </si>
  <si>
    <t>R-04</t>
  </si>
  <si>
    <t>Inyección de prompts en el asistente IA</t>
  </si>
  <si>
    <t>El usuario intenta manipular el asistente para obtener datos o alterar su comportamiento.</t>
  </si>
  <si>
    <t>Filtros de entrada/salida, límites de contexto y pruebas de ataque.</t>
  </si>
  <si>
    <t>R-05</t>
  </si>
  <si>
    <t>Permisos excesivos en base de datos</t>
  </si>
  <si>
    <t>Usuarios o servicios con privilegios por sobre lo necesario en la base de datos.</t>
  </si>
  <si>
    <t>Principio de mínimo privilegio, usuarios de servicio acotados y auditoría.</t>
  </si>
  <si>
    <t>R-06</t>
  </si>
  <si>
    <t>UX/UI poco intuitiva</t>
  </si>
  <si>
    <t>Interfaz tosca que complica el pago y el autoservicio del deudor.</t>
  </si>
  <si>
    <t>Pruebas de usabilidad con APOFYX y rediseño iterativo en el portal.</t>
  </si>
  <si>
    <t>Esteban</t>
  </si>
  <si>
    <t>Probabilidad</t>
  </si>
  <si>
    <t>R-07</t>
  </si>
  <si>
    <t>Caída de servicios de terceros</t>
  </si>
  <si>
    <t>Interrupción de conexion con Proveedores externos afecta la transacción (APOFYX , APIs de pasarelas de pago)</t>
  </si>
  <si>
    <t>Degradación controlada, colas de reintento y estado 'pendiente de confirmar'.</t>
  </si>
  <si>
    <t>R-08</t>
  </si>
  <si>
    <t>Falta de recursos de infraestructura</t>
  </si>
  <si>
    <t>El entorno no soporta el volumen de peticiones de los microservicios.</t>
  </si>
  <si>
    <t>Dimensionamiento, monitoreo y rate limit en el gateway.</t>
  </si>
  <si>
    <t>R-09</t>
  </si>
  <si>
    <t>Desconocimiento del stack tecnológico</t>
  </si>
  <si>
    <t>Curva de aprendizaje de Java/Spring, RabbitMQ, React y seguridad.</t>
  </si>
  <si>
    <t>Pareo técnico, documentación interna y prototipos tempranos.</t>
  </si>
  <si>
    <t>Equipo</t>
  </si>
  <si>
    <t>R-10</t>
  </si>
  <si>
    <t>Malas prácticas de arquitectura</t>
  </si>
  <si>
    <t>Patrones compatibles con escalabilidad y mantenimiento deficientes generan deuda técnica.</t>
  </si>
  <si>
    <t>Arquitectura de microservicios + gateway; revisión de PR y ADRs.</t>
  </si>
  <si>
    <t>R-11</t>
  </si>
  <si>
    <t>Metas irrealistas</t>
  </si>
  <si>
    <t>Tiempos acotados frente a la carga académica y la práctica profesional.</t>
  </si>
  <si>
    <t>Planificación por olas, WIP limitado y negociación de alcance con el PO.</t>
  </si>
  <si>
    <t>Martín</t>
  </si>
  <si>
    <t>R-12</t>
  </si>
  <si>
    <t>Falta de sincronización del equipo</t>
  </si>
  <si>
    <t>Problemas de agenda que reducen la coordinación entre práctica y capstone.</t>
  </si>
  <si>
    <t>Dailies semanales, tablero SCRUMBAN visible y minutas.</t>
  </si>
  <si>
    <t>R-13</t>
  </si>
  <si>
    <t>Mala gestión de requerimientos</t>
  </si>
  <si>
    <t>Requisitos ambiguos que provocan scope creep y entregas fuera de expectativa.</t>
  </si>
  <si>
    <t>Backlog con DoD, historias trazadas a RF y control de cambios del PO.</t>
  </si>
  <si>
    <t>R-14</t>
  </si>
  <si>
    <t>Rechazo de la solución por el cliente</t>
  </si>
  <si>
    <t>El producto no cumple criterios de aceptación, seguridad o usabilidad de APOFYX.</t>
  </si>
  <si>
    <t>Validación continua con APOFYX, demo por ola y matriz RF/RNF.</t>
  </si>
  <si>
    <t>R-15</t>
  </si>
  <si>
    <t>Falta de comunicación con el cliente</t>
  </si>
  <si>
    <t>Ausencia de feedback continuo genera desalineación con el negocio.</t>
  </si>
  <si>
    <t>Reuniones semanales con minuta y canal formal de consultas.</t>
  </si>
  <si>
    <t>R-16</t>
  </si>
  <si>
    <t>Corrupción del alcance (scope creep)</t>
  </si>
  <si>
    <t>Cambios constantes durante el desarrollo extienden plazos y agotan el esfuerzo.</t>
  </si>
  <si>
    <t>Control de cambios, MoSCoW y backlog priorizado por olas.</t>
  </si>
  <si>
    <t>R-17</t>
  </si>
  <si>
    <t>Sobreingeniería tecnológica</t>
  </si>
  <si>
    <t>Tecnologías innecesarias que elevan el costo y dificultan el mantenimiento.</t>
  </si>
  <si>
    <t>Stack mínimo viable, revisión de diseño antes de implementar.</t>
  </si>
  <si>
    <t>R-18</t>
  </si>
  <si>
    <t>Incumplimiento de normativas de datos</t>
  </si>
  <si>
    <t>Manejo inadecuado de datos financieros/personales de los deudores.</t>
  </si>
  <si>
    <t>Cifrado, minimización de datos, control de acceso y política de retención.</t>
  </si>
  <si>
    <t>Flavio/Pedro</t>
  </si>
  <si>
    <t>R-19</t>
  </si>
  <si>
    <t>Fraude o tarjetas robadas</t>
  </si>
  <si>
    <t>Intentos de pago fraudulentos o suplantación de identidad de deudores.</t>
  </si>
  <si>
    <t>Tokenización (no se almacenan tarjetas), antifraude de la pasarela y validación de RUT.</t>
  </si>
  <si>
    <t>R-20</t>
  </si>
  <si>
    <t>Bloqueo de cuenta de mensajería</t>
  </si>
  <si>
    <t>El canal de recordatorios es bloqueado por políticas o falsos reportes de spam.</t>
  </si>
  <si>
    <t>Plantillas aprobadas, opt-in/opt-out y canal alternativo.</t>
  </si>
  <si>
    <t>R-21</t>
  </si>
  <si>
    <t>Alta latencia en respuestas</t>
  </si>
  <si>
    <t>Consultas lentas a la base o a APIs externas que frustran al deudor.</t>
  </si>
  <si>
    <t>Índices, caché de lecturas y rendimiento medido (&lt;2s en dashboard).</t>
  </si>
  <si>
    <t>Pedro</t>
  </si>
  <si>
    <t>R-22</t>
  </si>
  <si>
    <t>Pérdida de datos por falta de respaldo</t>
  </si>
  <si>
    <t>Corte o falla sin respaldo de la base de datos.</t>
  </si>
  <si>
    <t>Backups automáticos, pruebas de restauración y almacenamiento externo.</t>
  </si>
  <si>
    <t>R-23</t>
  </si>
  <si>
    <t>Valor UF desactualizado</t>
  </si>
  <si>
    <t>Conversión de saldos con un valor UF erróneo o de fecha incorrecta.</t>
  </si>
  <si>
    <t>Almacenar y auditar el valor UF por transacción; fuente validada.</t>
  </si>
  <si>
    <t>R-24</t>
  </si>
  <si>
    <t>Ausencia de evidencias/repo desordenado</t>
  </si>
  <si>
    <t>Faltan entregables o rutas de la checklist en el repositorio.</t>
  </si>
  <si>
    <t>Checklist versionada, revisión semanal y responsable por evidencia.</t>
  </si>
  <si>
    <t>R-25</t>
  </si>
  <si>
    <t>Tasa máxima convencional desactualizada (riesgo de usura)</t>
  </si>
  <si>
    <t>La tasa máxima convencional se fija a mano (INTERES_TASA_MAXIMA_MENSUAL=3.0) y la CMF la publica cada mes; si no se actualiza o se configura mal, se aceptan deudas con una tasa sobre el máximo legal, con sanción y reputación en riesgo.</t>
  </si>
  <si>
    <t>Automatizar la descarga de la TMC desde la CMF, alertar cuando cambie, auditar el tope por lote y fijarlo por contrato.</t>
  </si>
  <si>
    <t>Pedro/Flavio</t>
  </si>
  <si>
    <t>R-26</t>
  </si>
  <si>
    <t>Fuga de datos del deudor hacia el proveedor externo de IA</t>
  </si>
  <si>
    <t>Minimizar el contexto enviado, anonimizar RUT en el prompt, TLS, cláusulas de protección de datos con el proveedor, bitácora de auditoría y opción de operar solo con las reglas.</t>
  </si>
  <si>
    <t>R-27</t>
  </si>
  <si>
    <t>Contactos al deudor fuera de la ley</t>
  </si>
  <si>
    <t>Los límites y horarios (máx. 2 correos/7 días, lunes a sábado 8:00-20:00, sin feriados) están codificados, pero los feriados decretados u regionales se suman a mano (CONTACTO_FERIADOS) y el deudor no puede pedir que no lo contacten; un error configura contactos fuera de norma.</t>
  </si>
  <si>
    <t>Validar la franja contra el calendario oficial, incorporar feriados regionales, implementar el no-contacto del deudor y los gastos del art. 37.</t>
  </si>
  <si>
    <t>Esteban/Flavio</t>
  </si>
  <si>
    <t>R-28</t>
  </si>
  <si>
    <t>Concentración de la operación en un solo acreedor o agencia</t>
  </si>
  <si>
    <t>Toda la cadena vive de APOFYX y de un acreedor de ejemplo (Patrimonio); el caso de Kobra, que se retiró del proyecto original, muestra que si una pieza se va la plataforma se queda sin carteras ni pagos.</t>
  </si>
  <si>
    <t>Diversificar acreedores y agencias, mantener el contrato modular para sumar piezas sin tocar código y acuerdos de continuidad por cliente.</t>
  </si>
  <si>
    <t>R-29</t>
  </si>
  <si>
    <t>Datos retenidos sin política de anonimización</t>
  </si>
  <si>
    <t>La decisión I12 del contrato (cuánto se guarda una deuda saldada antes de anonimizarla) no está implementada; los datos personales se acumulan sin límite y crece la exposición a una fuga y a la normativa de protección de datos.</t>
  </si>
  <si>
    <t>Definir e implementar retención y anonimización por antigüedad, con documentación de la política y revisión periódica.</t>
  </si>
  <si>
    <t>R-30</t>
  </si>
  <si>
    <t>Caída total por despliegue en un solo host</t>
  </si>
  <si>
    <t>Todo vive en un solo equipo con Docker (MySQL, RabbitMQ, gateway y los 4 servicios en la misma máquina y volumen tbridge_db_data); una falla física o del host detiene toda la operación de cobro y conciliación.</t>
  </si>
  <si>
    <t>Réplicas y nodos independientes para bases y servicios, respaldo externo y plan de recuperación probado.</t>
  </si>
  <si>
    <t>R-31</t>
  </si>
  <si>
    <t>Escalamiento con réplicas inconsistentes</t>
  </si>
  <si>
    <t>Los límites del gateway viven en la memoria de cada instancia y las tareas programadas (campañas, vencimientos, despachadores, UF) correrían en cada réplica; no está validado con varias instancias y puede duplicar correos o volver inconsistentes los límites.</t>
  </si>
  <si>
    <t>Centralizar los límites en un almacén compartido y repartir las tareas programadas (leader election), con pruebas multi-instancia.</t>
  </si>
  <si>
    <t>R-32</t>
  </si>
  <si>
    <t>Confusión de entornos reales, de prueba y simulados de las pasarelas</t>
  </si>
  <si>
    <t>TRANSBANK_ENVIRONMENT, KHIPU_LLAVE y MERCADOPAGO_ENVIRONMENT alternan entre real, TEST y SIMULADA; configurar producción con el ambiente o credenciales equivocados produce cobros reales mal procesados o pagos simulados.</t>
  </si>
  <si>
    <t>Separar ambientes con credenciales distintas, checklist de release, denegar por diseño la pasarela simulada en producción y monitorear el ambiente activo.</t>
  </si>
  <si>
    <t>R-33</t>
  </si>
  <si>
    <t>Regresiones del portal sin suite automática</t>
  </si>
  <si>
    <t>El frontend se prueba compilando y recorriendo a mano en el navegador; sin una suite automática de interfaz una regresión de usabilidad o de flujos de pago se descubre tarde.</t>
  </si>
  <si>
    <t>Suite de pruebas de componentes y e2e para el portal y smoke tests en la CI.</t>
  </si>
  <si>
    <t>Esteban/Martín</t>
  </si>
  <si>
    <t>R-34</t>
  </si>
  <si>
    <t>Despliegue con secretos y cookies de desarrollo</t>
  </si>
  <si>
    <t>COOKIE_SECURE=false por omisión, puertos y credenciales de desarrollo escritos en archivos públicos; publicar producción sin HTTPS ni credenciales reales expone sesiones, enlaces y datos de pago.</t>
  </si>
  <si>
    <t>Forzar HTTPS y COOKIE_SECURE=true, generar secretos por ambiente, revisar variables antes del release y ocultar Swagger.</t>
  </si>
  <si>
    <t>NPR</t>
  </si>
  <si>
    <t>Nivel</t>
  </si>
  <si>
    <t>Tratamiento</t>
  </si>
  <si>
    <t>1-50</t>
  </si>
  <si>
    <t>Baja</t>
  </si>
  <si>
    <t>Aceptar / Monitorear</t>
  </si>
  <si>
    <t>51-100</t>
  </si>
  <si>
    <t>Moderada</t>
  </si>
  <si>
    <t>Aplicar medidas de control</t>
  </si>
  <si>
    <t>101-200</t>
  </si>
  <si>
    <t>Alta</t>
  </si>
  <si>
    <t>Tratamiento prioritario</t>
  </si>
  <si>
    <t>201-625</t>
  </si>
  <si>
    <t>Crítica</t>
  </si>
  <si>
    <t>Requiere tratamiento inmediato</t>
  </si>
  <si>
    <r>
      <t>El asistente ms-ai envía a xAI (proveedor externo) las consultas y el contexto de la deuda del deudor (XAI_API_KEY,</t>
    </r>
    <r>
      <rPr>
        <u/>
        <sz val="11"/>
        <color theme="1"/>
        <rFont val="Calibri"/>
        <family val="2"/>
      </rPr>
      <t xml:space="preserve"> modelo grok-4.5</t>
    </r>
    <r>
      <rPr>
        <sz val="11"/>
        <color theme="1"/>
        <rFont val="Calibri"/>
      </rPr>
      <t>); una fuga, un proveedor que no cumpla la normativa o una interceptación expone datos financieros y personales.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</si>
</sst>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20"/>
      <color rgb="FFFFFFFF"/>
      <name val="Arial"/>
    </font>
    <font>
      <sz val="11"/>
      <color theme="1"/>
      <name val="Calibri"/>
    </font>
    <font>
      <b/>
      <sz val="25"/>
      <color rgb="FF000000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b/>
      <sz val="11"/>
      <color rgb="FFFFFFFF"/>
      <name val="Calibri"/>
    </font>
    <font>
      <b/>
      <sz val="11"/>
      <color theme="1"/>
      <name val="Calibri"/>
    </font>
    <font>
      <b/>
      <sz val="13"/>
      <color theme="1"/>
      <name val="Calibri"/>
    </font>
    <font>
      <b/>
      <sz val="22"/>
      <color rgb="FF000000"/>
      <name val="Arial"/>
    </font>
    <font>
      <sz val="11"/>
      <color rgb="FF000000"/>
      <name val="Arial"/>
    </font>
    <font>
      <b/>
      <sz val="24"/>
      <color rgb="FF000000"/>
      <name val="Arial"/>
    </font>
    <font>
      <sz val="11"/>
      <color theme="1"/>
      <name val="Calibri"/>
      <family val="2"/>
    </font>
    <font>
      <u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0000"/>
        <bgColor rgb="FF000000"/>
      </patternFill>
    </fill>
    <fill>
      <patternFill patternType="solid">
        <fgColor rgb="FF20124D"/>
        <bgColor rgb="FF20124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1F4E78"/>
      </left>
      <right style="thin">
        <color rgb="FFBFBFBF"/>
      </right>
      <top style="thick">
        <color rgb="FF1F4E78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ck">
        <color rgb="FF1F4E78"/>
      </top>
      <bottom style="thin">
        <color rgb="FFBFBFBF"/>
      </bottom>
      <diagonal/>
    </border>
    <border>
      <left style="thin">
        <color rgb="FFBFBFBF"/>
      </left>
      <right/>
      <top style="thick">
        <color rgb="FF1F4E78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ck">
        <color rgb="FF1F4E78"/>
      </top>
      <bottom/>
      <diagonal/>
    </border>
    <border>
      <left/>
      <right style="thick">
        <color rgb="FF1F4E78"/>
      </right>
      <top style="thick">
        <color rgb="FF1F4E78"/>
      </top>
      <bottom style="thin">
        <color rgb="FFBFBFBF"/>
      </bottom>
      <diagonal/>
    </border>
    <border>
      <left/>
      <right/>
      <top style="thick">
        <color rgb="FF1F4E78"/>
      </top>
      <bottom style="thin">
        <color rgb="FFBFBFBF"/>
      </bottom>
      <diagonal/>
    </border>
    <border>
      <left/>
      <right style="thin">
        <color rgb="FFBFBFBF"/>
      </right>
      <top style="thick">
        <color rgb="FF1F4E78"/>
      </top>
      <bottom style="thin">
        <color rgb="FFBFBFBF"/>
      </bottom>
      <diagonal/>
    </border>
    <border>
      <left style="thin">
        <color rgb="FFBFBFBF"/>
      </left>
      <right style="thick">
        <color rgb="FF1F4E78"/>
      </right>
      <top style="thick">
        <color rgb="FF1F4E78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ck">
        <color rgb="FF1F4E78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rgb="FF1F4E78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ck">
        <color rgb="FF1F4E78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ck">
        <color rgb="FF1F4E78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ck">
        <color rgb="FF1F4E78"/>
      </left>
      <right style="thin">
        <color rgb="FFBFBFBF"/>
      </right>
      <top style="thin">
        <color rgb="FFBFBFBF"/>
      </top>
      <bottom/>
      <diagonal/>
    </border>
    <border>
      <left style="thick">
        <color rgb="FF1F4E78"/>
      </left>
      <right style="thin">
        <color rgb="FFBFBFBF"/>
      </right>
      <top/>
      <bottom style="thin">
        <color rgb="FFBFBFBF"/>
      </bottom>
      <diagonal/>
    </border>
    <border>
      <left/>
      <right style="thick">
        <color theme="4" tint="-0.499984740745262"/>
      </right>
      <top/>
      <bottom/>
      <diagonal/>
    </border>
    <border>
      <left style="thin">
        <color rgb="FFBFBFBF"/>
      </left>
      <right style="thick">
        <color rgb="FF1F4E78"/>
      </right>
      <top style="thin">
        <color rgb="FFBFBFBF"/>
      </top>
      <bottom/>
      <diagonal/>
    </border>
    <border>
      <left style="thick">
        <color theme="4" tint="-0.499984740745262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5" fillId="5" borderId="4" xfId="0" applyFont="1" applyFill="1" applyBorder="1" applyAlignment="1">
      <alignment horizontal="center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5" fillId="6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top" wrapText="1"/>
    </xf>
    <xf numFmtId="0" fontId="6" fillId="7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7" fillId="7" borderId="8" xfId="0" applyFont="1" applyFill="1" applyBorder="1" applyAlignment="1">
      <alignment horizontal="center" vertical="top" wrapText="1"/>
    </xf>
    <xf numFmtId="0" fontId="5" fillId="8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top" wrapText="1"/>
    </xf>
    <xf numFmtId="0" fontId="9" fillId="6" borderId="10" xfId="0" applyFont="1" applyFill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11" fillId="9" borderId="0" xfId="0" applyFont="1" applyFill="1"/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3" fillId="0" borderId="19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7" fillId="7" borderId="0" xfId="0" applyFont="1" applyFill="1" applyAlignment="1">
      <alignment horizontal="center" vertical="top" wrapText="1"/>
    </xf>
    <xf numFmtId="0" fontId="8" fillId="0" borderId="21" xfId="0" applyFont="1" applyBorder="1" applyAlignment="1">
      <alignment horizontal="center" vertical="top" wrapText="1"/>
    </xf>
    <xf numFmtId="0" fontId="9" fillId="6" borderId="22" xfId="0" applyFont="1" applyFill="1" applyBorder="1" applyAlignment="1">
      <alignment horizontal="center" vertical="top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5" fillId="8" borderId="26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 vertical="top" wrapText="1"/>
    </xf>
    <xf numFmtId="0" fontId="5" fillId="6" borderId="27" xfId="0" applyFont="1" applyFill="1" applyBorder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8" fillId="5" borderId="0" xfId="0" applyFont="1" applyFill="1" applyAlignment="1">
      <alignment horizontal="center" vertical="top" wrapText="1"/>
    </xf>
    <xf numFmtId="0" fontId="5" fillId="8" borderId="29" xfId="0" applyFont="1" applyFill="1" applyBorder="1" applyAlignment="1">
      <alignment horizontal="center"/>
    </xf>
    <xf numFmtId="0" fontId="5" fillId="8" borderId="3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8" fillId="8" borderId="0" xfId="0" applyFont="1" applyFill="1" applyAlignment="1">
      <alignment horizontal="center" vertical="top" wrapText="1"/>
    </xf>
    <xf numFmtId="0" fontId="9" fillId="7" borderId="22" xfId="0" applyFont="1" applyFill="1" applyBorder="1" applyAlignment="1">
      <alignment horizontal="center" vertical="top" wrapText="1"/>
    </xf>
    <xf numFmtId="0" fontId="8" fillId="6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/>
    </xf>
    <xf numFmtId="0" fontId="0" fillId="0" borderId="0" xfId="0"/>
    <xf numFmtId="0" fontId="10" fillId="0" borderId="34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10" fillId="0" borderId="34" xfId="0" applyFont="1" applyBorder="1" applyAlignment="1">
      <alignment horizontal="center" vertical="center"/>
    </xf>
    <xf numFmtId="0" fontId="0" fillId="0" borderId="25" xfId="0" applyBorder="1"/>
    <xf numFmtId="0" fontId="0" fillId="0" borderId="28" xfId="0" applyBorder="1"/>
    <xf numFmtId="0" fontId="2" fillId="3" borderId="0" xfId="0" applyFont="1" applyFill="1" applyAlignment="1">
      <alignment horizontal="center"/>
    </xf>
    <xf numFmtId="0" fontId="12" fillId="0" borderId="4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4" fillId="0" borderId="4" xfId="0" applyFont="1" applyBorder="1" applyAlignment="1">
      <alignment horizontal="center"/>
    </xf>
    <xf numFmtId="0" fontId="0" fillId="0" borderId="7" xfId="0" applyBorder="1"/>
    <xf numFmtId="0" fontId="0" fillId="0" borderId="13" xfId="0" applyBorder="1"/>
    <xf numFmtId="0" fontId="3" fillId="0" borderId="1" xfId="0" applyFont="1" applyBorder="1" applyAlignment="1">
      <alignment horizontal="center" vertical="top" wrapText="1"/>
    </xf>
    <xf numFmtId="0" fontId="3" fillId="0" borderId="35" xfId="0" applyFont="1" applyBorder="1" applyAlignment="1">
      <alignment horizontal="center" vertical="top" wrapText="1"/>
    </xf>
    <xf numFmtId="0" fontId="7" fillId="7" borderId="0" xfId="0" applyFont="1" applyFill="1" applyBorder="1" applyAlignment="1">
      <alignment horizontal="center" vertical="top" wrapText="1"/>
    </xf>
    <xf numFmtId="0" fontId="8" fillId="0" borderId="36" xfId="0" applyFont="1" applyBorder="1" applyAlignment="1">
      <alignment horizontal="center" vertical="top" wrapText="1"/>
    </xf>
    <xf numFmtId="0" fontId="9" fillId="6" borderId="37" xfId="0" applyFont="1" applyFill="1" applyBorder="1" applyAlignment="1">
      <alignment horizontal="center" vertical="top" wrapText="1"/>
    </xf>
    <xf numFmtId="0" fontId="3" fillId="0" borderId="39" xfId="0" applyFont="1" applyBorder="1" applyAlignment="1">
      <alignment horizontal="center" vertical="top" wrapText="1"/>
    </xf>
    <xf numFmtId="0" fontId="3" fillId="0" borderId="40" xfId="0" applyFont="1" applyBorder="1" applyAlignment="1">
      <alignment horizontal="center" vertical="top" wrapText="1"/>
    </xf>
    <xf numFmtId="0" fontId="8" fillId="0" borderId="41" xfId="0" applyFont="1" applyBorder="1" applyAlignment="1">
      <alignment horizontal="center" vertical="top" wrapText="1"/>
    </xf>
    <xf numFmtId="0" fontId="9" fillId="6" borderId="42" xfId="0" applyFont="1" applyFill="1" applyBorder="1" applyAlignment="1">
      <alignment horizontal="center" vertical="top" wrapText="1"/>
    </xf>
    <xf numFmtId="0" fontId="3" fillId="0" borderId="43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3" fillId="0" borderId="38" xfId="0" applyFont="1" applyBorder="1" applyAlignment="1">
      <alignment horizontal="center" vertical="top" wrapText="1"/>
    </xf>
    <xf numFmtId="0" fontId="3" fillId="0" borderId="44" xfId="0" applyFont="1" applyBorder="1" applyAlignment="1">
      <alignment horizontal="center" vertical="top" wrapText="1"/>
    </xf>
    <xf numFmtId="0" fontId="3" fillId="0" borderId="42" xfId="0" applyFont="1" applyBorder="1" applyAlignment="1">
      <alignment horizontal="center" vertical="top" wrapText="1"/>
    </xf>
    <xf numFmtId="0" fontId="3" fillId="0" borderId="4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35" xfId="0" applyFont="1" applyBorder="1" applyAlignment="1">
      <alignment vertical="top" wrapText="1"/>
    </xf>
    <xf numFmtId="0" fontId="3" fillId="0" borderId="45" xfId="0" applyFont="1" applyBorder="1" applyAlignment="1">
      <alignment vertical="top" wrapText="1"/>
    </xf>
    <xf numFmtId="0" fontId="3" fillId="0" borderId="39" xfId="0" applyFont="1" applyBorder="1" applyAlignment="1">
      <alignment vertical="top" wrapText="1"/>
    </xf>
    <xf numFmtId="0" fontId="3" fillId="0" borderId="46" xfId="0" applyFont="1" applyBorder="1" applyAlignment="1">
      <alignment vertical="top" wrapText="1"/>
    </xf>
    <xf numFmtId="0" fontId="3" fillId="0" borderId="37" xfId="0" applyFont="1" applyBorder="1" applyAlignment="1">
      <alignment vertical="top" wrapText="1"/>
    </xf>
    <xf numFmtId="0" fontId="3" fillId="0" borderId="47" xfId="0" applyFont="1" applyBorder="1" applyAlignment="1">
      <alignment vertical="top" wrapText="1"/>
    </xf>
    <xf numFmtId="0" fontId="3" fillId="0" borderId="41" xfId="0" applyFont="1" applyBorder="1" applyAlignment="1">
      <alignment vertical="top" wrapText="1"/>
    </xf>
    <xf numFmtId="0" fontId="9" fillId="6" borderId="48" xfId="0" applyFont="1" applyFill="1" applyBorder="1" applyAlignment="1">
      <alignment horizontal="center" vertical="top" wrapText="1"/>
    </xf>
    <xf numFmtId="0" fontId="13" fillId="0" borderId="4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pane ySplit="1" topLeftCell="A25" activePane="bottomLeft" state="frozen"/>
      <selection pane="bottomLeft" activeCell="C31" sqref="C31"/>
    </sheetView>
  </sheetViews>
  <sheetFormatPr baseColWidth="10" defaultColWidth="14.44140625" defaultRowHeight="15" customHeight="1" x14ac:dyDescent="0.3"/>
  <cols>
    <col min="1" max="1" width="7" customWidth="1"/>
    <col min="2" max="2" width="26" customWidth="1"/>
    <col min="3" max="3" width="222.6640625" customWidth="1"/>
    <col min="4" max="5" width="9" customWidth="1"/>
    <col min="6" max="6" width="10" customWidth="1"/>
    <col min="7" max="7" width="9" customWidth="1"/>
    <col min="8" max="8" width="11" customWidth="1"/>
    <col min="9" max="9" width="10" customWidth="1"/>
    <col min="10" max="10" width="11" customWidth="1"/>
    <col min="11" max="11" width="55" customWidth="1"/>
    <col min="12" max="12" width="15" customWidth="1"/>
    <col min="13" max="15" width="8.6640625" customWidth="1"/>
    <col min="16" max="16" width="19.88671875" customWidth="1"/>
    <col min="17" max="26" width="8.6640625" customWidth="1"/>
  </cols>
  <sheetData>
    <row r="1" spans="1:21" ht="28.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47" t="s">
        <v>12</v>
      </c>
      <c r="Q1" s="48"/>
      <c r="R1" s="48"/>
      <c r="S1" s="48"/>
      <c r="T1" s="48"/>
      <c r="U1" s="48"/>
    </row>
    <row r="2" spans="1:21" ht="28.8" x14ac:dyDescent="0.3">
      <c r="A2" s="4" t="s">
        <v>13</v>
      </c>
      <c r="B2" s="6" t="s">
        <v>14</v>
      </c>
      <c r="C2" s="7" t="s">
        <v>15</v>
      </c>
      <c r="D2" s="9">
        <v>3</v>
      </c>
      <c r="E2" s="11">
        <v>5</v>
      </c>
      <c r="F2" s="11">
        <v>3</v>
      </c>
      <c r="G2" s="12">
        <v>4</v>
      </c>
      <c r="H2" s="13">
        <f t="shared" ref="H2:H35" si="0">D2*E2*F2*G2</f>
        <v>180</v>
      </c>
      <c r="I2" s="15" t="str">
        <f t="shared" ref="I2:I35" si="1">IF(H2&lt;=50,"Baja",IF(H2&lt;=100,"Moderada",IF(H2&lt;=200,"Alta","Crítica")))</f>
        <v>Alta</v>
      </c>
      <c r="J2" s="16">
        <f t="shared" ref="J2:J35" si="2">D2*E2</f>
        <v>15</v>
      </c>
      <c r="K2" s="17" t="s">
        <v>16</v>
      </c>
      <c r="L2" s="18" t="s">
        <v>17</v>
      </c>
      <c r="P2" s="52" t="s">
        <v>18</v>
      </c>
      <c r="Q2" s="20">
        <v>5</v>
      </c>
      <c r="R2" s="21">
        <v>10</v>
      </c>
      <c r="S2" s="22">
        <v>15</v>
      </c>
      <c r="T2" s="23">
        <v>20</v>
      </c>
      <c r="U2" s="24">
        <v>25</v>
      </c>
    </row>
    <row r="3" spans="1:21" ht="28.8" x14ac:dyDescent="0.3">
      <c r="A3" s="25" t="s">
        <v>19</v>
      </c>
      <c r="B3" s="3" t="s">
        <v>20</v>
      </c>
      <c r="C3" s="26" t="s">
        <v>21</v>
      </c>
      <c r="D3" s="27">
        <v>4</v>
      </c>
      <c r="E3" s="28">
        <v>3</v>
      </c>
      <c r="F3" s="28">
        <v>3</v>
      </c>
      <c r="G3" s="29">
        <v>4</v>
      </c>
      <c r="H3" s="30">
        <f t="shared" si="0"/>
        <v>144</v>
      </c>
      <c r="I3" s="31" t="str">
        <f t="shared" si="1"/>
        <v>Alta</v>
      </c>
      <c r="J3" s="32">
        <f t="shared" si="2"/>
        <v>12</v>
      </c>
      <c r="K3" s="33" t="s">
        <v>22</v>
      </c>
      <c r="L3" s="34" t="s">
        <v>23</v>
      </c>
      <c r="P3" s="53"/>
      <c r="Q3" s="35">
        <v>4</v>
      </c>
      <c r="R3" s="5">
        <v>8</v>
      </c>
      <c r="S3" s="8">
        <v>12</v>
      </c>
      <c r="T3" s="8">
        <v>16</v>
      </c>
      <c r="U3" s="36">
        <v>20</v>
      </c>
    </row>
    <row r="4" spans="1:21" ht="28.8" x14ac:dyDescent="0.3">
      <c r="A4" s="25" t="s">
        <v>24</v>
      </c>
      <c r="B4" s="3" t="s">
        <v>25</v>
      </c>
      <c r="C4" s="26" t="s">
        <v>26</v>
      </c>
      <c r="D4" s="27">
        <v>2</v>
      </c>
      <c r="E4" s="28">
        <v>5</v>
      </c>
      <c r="F4" s="28">
        <v>3</v>
      </c>
      <c r="G4" s="29">
        <v>4</v>
      </c>
      <c r="H4" s="30">
        <f t="shared" si="0"/>
        <v>120</v>
      </c>
      <c r="I4" s="31" t="str">
        <f t="shared" si="1"/>
        <v>Alta</v>
      </c>
      <c r="J4" s="37">
        <f t="shared" si="2"/>
        <v>10</v>
      </c>
      <c r="K4" s="33" t="s">
        <v>27</v>
      </c>
      <c r="L4" s="34" t="s">
        <v>28</v>
      </c>
      <c r="P4" s="53"/>
      <c r="Q4" s="35">
        <v>3</v>
      </c>
      <c r="R4" s="5">
        <v>6</v>
      </c>
      <c r="S4" s="5">
        <v>9</v>
      </c>
      <c r="T4" s="8">
        <v>12</v>
      </c>
      <c r="U4" s="38">
        <v>15</v>
      </c>
    </row>
    <row r="5" spans="1:21" ht="28.8" x14ac:dyDescent="0.3">
      <c r="A5" s="25" t="s">
        <v>29</v>
      </c>
      <c r="B5" s="3" t="s">
        <v>30</v>
      </c>
      <c r="C5" s="26" t="s">
        <v>31</v>
      </c>
      <c r="D5" s="27">
        <v>3</v>
      </c>
      <c r="E5" s="28">
        <v>4</v>
      </c>
      <c r="F5" s="28">
        <v>3</v>
      </c>
      <c r="G5" s="29">
        <v>3</v>
      </c>
      <c r="H5" s="30">
        <f t="shared" si="0"/>
        <v>108</v>
      </c>
      <c r="I5" s="31" t="str">
        <f t="shared" si="1"/>
        <v>Alta</v>
      </c>
      <c r="J5" s="32">
        <f t="shared" si="2"/>
        <v>12</v>
      </c>
      <c r="K5" s="33" t="s">
        <v>32</v>
      </c>
      <c r="L5" s="34" t="s">
        <v>23</v>
      </c>
      <c r="P5" s="53"/>
      <c r="Q5" s="35">
        <v>2</v>
      </c>
      <c r="R5" s="14">
        <v>4</v>
      </c>
      <c r="S5" s="5">
        <v>6</v>
      </c>
      <c r="T5" s="5">
        <v>8</v>
      </c>
      <c r="U5" s="39">
        <v>10</v>
      </c>
    </row>
    <row r="6" spans="1:21" ht="28.8" x14ac:dyDescent="0.3">
      <c r="A6" s="25" t="s">
        <v>33</v>
      </c>
      <c r="B6" s="3" t="s">
        <v>34</v>
      </c>
      <c r="C6" s="26" t="s">
        <v>35</v>
      </c>
      <c r="D6" s="27">
        <v>2</v>
      </c>
      <c r="E6" s="28">
        <v>4</v>
      </c>
      <c r="F6" s="28">
        <v>3</v>
      </c>
      <c r="G6" s="29">
        <v>3</v>
      </c>
      <c r="H6" s="40">
        <f t="shared" si="0"/>
        <v>72</v>
      </c>
      <c r="I6" s="31" t="str">
        <f t="shared" si="1"/>
        <v>Moderada</v>
      </c>
      <c r="J6" s="37">
        <f t="shared" si="2"/>
        <v>8</v>
      </c>
      <c r="K6" s="33" t="s">
        <v>36</v>
      </c>
      <c r="L6" s="34" t="s">
        <v>23</v>
      </c>
      <c r="P6" s="54"/>
      <c r="Q6" s="41">
        <v>1</v>
      </c>
      <c r="R6" s="42">
        <v>2</v>
      </c>
      <c r="S6" s="42">
        <v>3</v>
      </c>
      <c r="T6" s="42">
        <v>4</v>
      </c>
      <c r="U6" s="43">
        <v>5</v>
      </c>
    </row>
    <row r="7" spans="1:21" ht="28.8" x14ac:dyDescent="0.5">
      <c r="A7" s="25" t="s">
        <v>37</v>
      </c>
      <c r="B7" s="3" t="s">
        <v>38</v>
      </c>
      <c r="C7" s="26" t="s">
        <v>39</v>
      </c>
      <c r="D7" s="27">
        <v>4</v>
      </c>
      <c r="E7" s="28">
        <v>2</v>
      </c>
      <c r="F7" s="28">
        <v>3</v>
      </c>
      <c r="G7" s="29">
        <v>2</v>
      </c>
      <c r="H7" s="44">
        <f t="shared" si="0"/>
        <v>48</v>
      </c>
      <c r="I7" s="31" t="str">
        <f t="shared" si="1"/>
        <v>Baja</v>
      </c>
      <c r="J7" s="37">
        <f t="shared" si="2"/>
        <v>8</v>
      </c>
      <c r="K7" s="33" t="s">
        <v>40</v>
      </c>
      <c r="L7" s="34" t="s">
        <v>41</v>
      </c>
      <c r="P7" s="19"/>
      <c r="Q7" s="49" t="s">
        <v>42</v>
      </c>
      <c r="R7" s="50"/>
      <c r="S7" s="50"/>
      <c r="T7" s="50"/>
      <c r="U7" s="51"/>
    </row>
    <row r="8" spans="1:21" ht="28.8" x14ac:dyDescent="0.3">
      <c r="A8" s="25" t="s">
        <v>43</v>
      </c>
      <c r="B8" s="3" t="s">
        <v>44</v>
      </c>
      <c r="C8" s="26" t="s">
        <v>45</v>
      </c>
      <c r="D8" s="27">
        <v>3</v>
      </c>
      <c r="E8" s="28">
        <v>4</v>
      </c>
      <c r="F8" s="28">
        <v>3</v>
      </c>
      <c r="G8" s="29">
        <v>3</v>
      </c>
      <c r="H8" s="30">
        <f t="shared" si="0"/>
        <v>108</v>
      </c>
      <c r="I8" s="31" t="str">
        <f t="shared" si="1"/>
        <v>Alta</v>
      </c>
      <c r="J8" s="32">
        <f t="shared" si="2"/>
        <v>12</v>
      </c>
      <c r="K8" s="33" t="s">
        <v>46</v>
      </c>
      <c r="L8" s="34" t="s">
        <v>23</v>
      </c>
    </row>
    <row r="9" spans="1:21" ht="28.8" x14ac:dyDescent="0.3">
      <c r="A9" s="25" t="s">
        <v>47</v>
      </c>
      <c r="B9" s="3" t="s">
        <v>48</v>
      </c>
      <c r="C9" s="26" t="s">
        <v>49</v>
      </c>
      <c r="D9" s="27">
        <v>2</v>
      </c>
      <c r="E9" s="28">
        <v>3</v>
      </c>
      <c r="F9" s="28">
        <v>4</v>
      </c>
      <c r="G9" s="29">
        <v>3</v>
      </c>
      <c r="H9" s="40">
        <f t="shared" si="0"/>
        <v>72</v>
      </c>
      <c r="I9" s="31" t="str">
        <f t="shared" si="1"/>
        <v>Moderada</v>
      </c>
      <c r="J9" s="37">
        <f t="shared" si="2"/>
        <v>6</v>
      </c>
      <c r="K9" s="33" t="s">
        <v>50</v>
      </c>
      <c r="L9" s="34" t="s">
        <v>23</v>
      </c>
    </row>
    <row r="10" spans="1:21" ht="28.8" x14ac:dyDescent="0.3">
      <c r="A10" s="25" t="s">
        <v>51</v>
      </c>
      <c r="B10" s="3" t="s">
        <v>52</v>
      </c>
      <c r="C10" s="26" t="s">
        <v>53</v>
      </c>
      <c r="D10" s="27">
        <v>4</v>
      </c>
      <c r="E10" s="28">
        <v>4</v>
      </c>
      <c r="F10" s="28">
        <v>3</v>
      </c>
      <c r="G10" s="29">
        <v>3</v>
      </c>
      <c r="H10" s="30">
        <f t="shared" si="0"/>
        <v>144</v>
      </c>
      <c r="I10" s="31" t="str">
        <f t="shared" si="1"/>
        <v>Alta</v>
      </c>
      <c r="J10" s="32">
        <f t="shared" si="2"/>
        <v>16</v>
      </c>
      <c r="K10" s="33" t="s">
        <v>54</v>
      </c>
      <c r="L10" s="34" t="s">
        <v>55</v>
      </c>
    </row>
    <row r="11" spans="1:21" ht="28.8" x14ac:dyDescent="0.3">
      <c r="A11" s="25" t="s">
        <v>56</v>
      </c>
      <c r="B11" s="3" t="s">
        <v>57</v>
      </c>
      <c r="C11" s="26" t="s">
        <v>58</v>
      </c>
      <c r="D11" s="27">
        <v>3</v>
      </c>
      <c r="E11" s="28">
        <v>4</v>
      </c>
      <c r="F11" s="28">
        <v>3</v>
      </c>
      <c r="G11" s="29">
        <v>4</v>
      </c>
      <c r="H11" s="30">
        <f t="shared" si="0"/>
        <v>144</v>
      </c>
      <c r="I11" s="31" t="str">
        <f t="shared" si="1"/>
        <v>Alta</v>
      </c>
      <c r="J11" s="32">
        <f t="shared" si="2"/>
        <v>12</v>
      </c>
      <c r="K11" s="33" t="s">
        <v>59</v>
      </c>
      <c r="L11" s="34" t="s">
        <v>23</v>
      </c>
    </row>
    <row r="12" spans="1:21" ht="28.8" x14ac:dyDescent="0.3">
      <c r="A12" s="25" t="s">
        <v>60</v>
      </c>
      <c r="B12" s="3" t="s">
        <v>61</v>
      </c>
      <c r="C12" s="26" t="s">
        <v>62</v>
      </c>
      <c r="D12" s="27">
        <v>4</v>
      </c>
      <c r="E12" s="28">
        <v>5</v>
      </c>
      <c r="F12" s="28">
        <v>3</v>
      </c>
      <c r="G12" s="29">
        <v>2</v>
      </c>
      <c r="H12" s="30">
        <f t="shared" si="0"/>
        <v>120</v>
      </c>
      <c r="I12" s="31" t="str">
        <f t="shared" si="1"/>
        <v>Alta</v>
      </c>
      <c r="J12" s="45">
        <f t="shared" si="2"/>
        <v>20</v>
      </c>
      <c r="K12" s="33" t="s">
        <v>63</v>
      </c>
      <c r="L12" s="34" t="s">
        <v>64</v>
      </c>
    </row>
    <row r="13" spans="1:21" ht="28.8" x14ac:dyDescent="0.3">
      <c r="A13" s="25" t="s">
        <v>65</v>
      </c>
      <c r="B13" s="3" t="s">
        <v>66</v>
      </c>
      <c r="C13" s="26" t="s">
        <v>67</v>
      </c>
      <c r="D13" s="27">
        <v>4</v>
      </c>
      <c r="E13" s="28">
        <v>3</v>
      </c>
      <c r="F13" s="28">
        <v>4</v>
      </c>
      <c r="G13" s="29">
        <v>2</v>
      </c>
      <c r="H13" s="46">
        <f t="shared" si="0"/>
        <v>96</v>
      </c>
      <c r="I13" s="31" t="str">
        <f t="shared" si="1"/>
        <v>Moderada</v>
      </c>
      <c r="J13" s="32">
        <f t="shared" si="2"/>
        <v>12</v>
      </c>
      <c r="K13" s="33" t="s">
        <v>68</v>
      </c>
      <c r="L13" s="34" t="s">
        <v>64</v>
      </c>
    </row>
    <row r="14" spans="1:21" ht="28.8" x14ac:dyDescent="0.3">
      <c r="A14" s="25" t="s">
        <v>69</v>
      </c>
      <c r="B14" s="3" t="s">
        <v>70</v>
      </c>
      <c r="C14" s="26" t="s">
        <v>71</v>
      </c>
      <c r="D14" s="27">
        <v>4</v>
      </c>
      <c r="E14" s="28">
        <v>3</v>
      </c>
      <c r="F14" s="28">
        <v>3</v>
      </c>
      <c r="G14" s="29">
        <v>4</v>
      </c>
      <c r="H14" s="30">
        <f t="shared" si="0"/>
        <v>144</v>
      </c>
      <c r="I14" s="31" t="str">
        <f t="shared" si="1"/>
        <v>Alta</v>
      </c>
      <c r="J14" s="32">
        <f t="shared" si="2"/>
        <v>12</v>
      </c>
      <c r="K14" s="33" t="s">
        <v>72</v>
      </c>
      <c r="L14" s="34" t="s">
        <v>23</v>
      </c>
    </row>
    <row r="15" spans="1:21" ht="28.8" x14ac:dyDescent="0.3">
      <c r="A15" s="25" t="s">
        <v>73</v>
      </c>
      <c r="B15" s="3" t="s">
        <v>74</v>
      </c>
      <c r="C15" s="26" t="s">
        <v>75</v>
      </c>
      <c r="D15" s="27">
        <v>2</v>
      </c>
      <c r="E15" s="28">
        <v>5</v>
      </c>
      <c r="F15" s="28">
        <v>3</v>
      </c>
      <c r="G15" s="29">
        <v>3</v>
      </c>
      <c r="H15" s="46">
        <f t="shared" si="0"/>
        <v>90</v>
      </c>
      <c r="I15" s="31" t="str">
        <f t="shared" si="1"/>
        <v>Moderada</v>
      </c>
      <c r="J15" s="37">
        <f t="shared" si="2"/>
        <v>10</v>
      </c>
      <c r="K15" s="33" t="s">
        <v>76</v>
      </c>
      <c r="L15" s="34" t="s">
        <v>64</v>
      </c>
    </row>
    <row r="16" spans="1:21" ht="28.8" x14ac:dyDescent="0.3">
      <c r="A16" s="25" t="s">
        <v>77</v>
      </c>
      <c r="B16" s="3" t="s">
        <v>78</v>
      </c>
      <c r="C16" s="26" t="s">
        <v>79</v>
      </c>
      <c r="D16" s="27">
        <v>3</v>
      </c>
      <c r="E16" s="28">
        <v>4</v>
      </c>
      <c r="F16" s="28">
        <v>3</v>
      </c>
      <c r="G16" s="29">
        <v>3</v>
      </c>
      <c r="H16" s="30">
        <f t="shared" si="0"/>
        <v>108</v>
      </c>
      <c r="I16" s="31" t="str">
        <f t="shared" si="1"/>
        <v>Alta</v>
      </c>
      <c r="J16" s="32">
        <f t="shared" si="2"/>
        <v>12</v>
      </c>
      <c r="K16" s="33" t="s">
        <v>80</v>
      </c>
      <c r="L16" s="34" t="s">
        <v>64</v>
      </c>
    </row>
    <row r="17" spans="1:12" ht="28.8" x14ac:dyDescent="0.3">
      <c r="A17" s="25" t="s">
        <v>81</v>
      </c>
      <c r="B17" s="3" t="s">
        <v>82</v>
      </c>
      <c r="C17" s="26" t="s">
        <v>83</v>
      </c>
      <c r="D17" s="27">
        <v>3</v>
      </c>
      <c r="E17" s="28">
        <v>4</v>
      </c>
      <c r="F17" s="28">
        <v>3</v>
      </c>
      <c r="G17" s="29">
        <v>3</v>
      </c>
      <c r="H17" s="30">
        <f t="shared" si="0"/>
        <v>108</v>
      </c>
      <c r="I17" s="31" t="str">
        <f t="shared" si="1"/>
        <v>Alta</v>
      </c>
      <c r="J17" s="32">
        <f t="shared" si="2"/>
        <v>12</v>
      </c>
      <c r="K17" s="33" t="s">
        <v>84</v>
      </c>
      <c r="L17" s="34" t="s">
        <v>23</v>
      </c>
    </row>
    <row r="18" spans="1:12" ht="28.8" x14ac:dyDescent="0.3">
      <c r="A18" s="25" t="s">
        <v>85</v>
      </c>
      <c r="B18" s="3" t="s">
        <v>86</v>
      </c>
      <c r="C18" s="26" t="s">
        <v>87</v>
      </c>
      <c r="D18" s="27">
        <v>3</v>
      </c>
      <c r="E18" s="28">
        <v>4</v>
      </c>
      <c r="F18" s="28">
        <v>3</v>
      </c>
      <c r="G18" s="29">
        <v>3</v>
      </c>
      <c r="H18" s="30">
        <f t="shared" si="0"/>
        <v>108</v>
      </c>
      <c r="I18" s="31" t="str">
        <f t="shared" si="1"/>
        <v>Alta</v>
      </c>
      <c r="J18" s="32">
        <f t="shared" si="2"/>
        <v>12</v>
      </c>
      <c r="K18" s="33" t="s">
        <v>88</v>
      </c>
      <c r="L18" s="34" t="s">
        <v>23</v>
      </c>
    </row>
    <row r="19" spans="1:12" ht="28.8" x14ac:dyDescent="0.3">
      <c r="A19" s="25" t="s">
        <v>89</v>
      </c>
      <c r="B19" s="3" t="s">
        <v>90</v>
      </c>
      <c r="C19" s="26" t="s">
        <v>91</v>
      </c>
      <c r="D19" s="27">
        <v>3</v>
      </c>
      <c r="E19" s="28">
        <v>4</v>
      </c>
      <c r="F19" s="28">
        <v>3</v>
      </c>
      <c r="G19" s="29">
        <v>4</v>
      </c>
      <c r="H19" s="30">
        <f t="shared" si="0"/>
        <v>144</v>
      </c>
      <c r="I19" s="31" t="str">
        <f t="shared" si="1"/>
        <v>Alta</v>
      </c>
      <c r="J19" s="32">
        <f t="shared" si="2"/>
        <v>12</v>
      </c>
      <c r="K19" s="33" t="s">
        <v>92</v>
      </c>
      <c r="L19" s="34" t="s">
        <v>93</v>
      </c>
    </row>
    <row r="20" spans="1:12" ht="28.8" x14ac:dyDescent="0.3">
      <c r="A20" s="25" t="s">
        <v>94</v>
      </c>
      <c r="B20" s="3" t="s">
        <v>95</v>
      </c>
      <c r="C20" s="26" t="s">
        <v>96</v>
      </c>
      <c r="D20" s="27">
        <v>2</v>
      </c>
      <c r="E20" s="28">
        <v>5</v>
      </c>
      <c r="F20" s="28">
        <v>3</v>
      </c>
      <c r="G20" s="29">
        <v>4</v>
      </c>
      <c r="H20" s="30">
        <f t="shared" si="0"/>
        <v>120</v>
      </c>
      <c r="I20" s="31" t="str">
        <f t="shared" si="1"/>
        <v>Alta</v>
      </c>
      <c r="J20" s="37">
        <f t="shared" si="2"/>
        <v>10</v>
      </c>
      <c r="K20" s="33" t="s">
        <v>97</v>
      </c>
      <c r="L20" s="34" t="s">
        <v>64</v>
      </c>
    </row>
    <row r="21" spans="1:12" ht="15.75" customHeight="1" x14ac:dyDescent="0.3">
      <c r="A21" s="25" t="s">
        <v>98</v>
      </c>
      <c r="B21" s="3" t="s">
        <v>99</v>
      </c>
      <c r="C21" s="26" t="s">
        <v>100</v>
      </c>
      <c r="D21" s="27">
        <v>2</v>
      </c>
      <c r="E21" s="28">
        <v>4</v>
      </c>
      <c r="F21" s="28">
        <v>3</v>
      </c>
      <c r="G21" s="29">
        <v>3</v>
      </c>
      <c r="H21" s="40">
        <f t="shared" si="0"/>
        <v>72</v>
      </c>
      <c r="I21" s="31" t="str">
        <f t="shared" si="1"/>
        <v>Moderada</v>
      </c>
      <c r="J21" s="37">
        <f t="shared" si="2"/>
        <v>8</v>
      </c>
      <c r="K21" s="33" t="s">
        <v>101</v>
      </c>
      <c r="L21" s="34" t="s">
        <v>41</v>
      </c>
    </row>
    <row r="22" spans="1:12" ht="15.75" customHeight="1" x14ac:dyDescent="0.3">
      <c r="A22" s="25" t="s">
        <v>102</v>
      </c>
      <c r="B22" s="3" t="s">
        <v>103</v>
      </c>
      <c r="C22" s="26" t="s">
        <v>104</v>
      </c>
      <c r="D22" s="27">
        <v>4</v>
      </c>
      <c r="E22" s="28">
        <v>2</v>
      </c>
      <c r="F22" s="28">
        <v>2</v>
      </c>
      <c r="G22" s="29">
        <v>2</v>
      </c>
      <c r="H22" s="44">
        <f t="shared" si="0"/>
        <v>32</v>
      </c>
      <c r="I22" s="31" t="str">
        <f t="shared" si="1"/>
        <v>Baja</v>
      </c>
      <c r="J22" s="37">
        <f t="shared" si="2"/>
        <v>8</v>
      </c>
      <c r="K22" s="33" t="s">
        <v>105</v>
      </c>
      <c r="L22" s="34" t="s">
        <v>106</v>
      </c>
    </row>
    <row r="23" spans="1:12" ht="15.75" customHeight="1" x14ac:dyDescent="0.3">
      <c r="A23" s="25" t="s">
        <v>107</v>
      </c>
      <c r="B23" s="3" t="s">
        <v>108</v>
      </c>
      <c r="C23" s="26" t="s">
        <v>109</v>
      </c>
      <c r="D23" s="27">
        <v>2</v>
      </c>
      <c r="E23" s="28">
        <v>5</v>
      </c>
      <c r="F23" s="28">
        <v>4</v>
      </c>
      <c r="G23" s="29">
        <v>4</v>
      </c>
      <c r="H23" s="30">
        <f t="shared" si="0"/>
        <v>160</v>
      </c>
      <c r="I23" s="31" t="str">
        <f t="shared" si="1"/>
        <v>Alta</v>
      </c>
      <c r="J23" s="37">
        <f t="shared" si="2"/>
        <v>10</v>
      </c>
      <c r="K23" s="33" t="s">
        <v>110</v>
      </c>
      <c r="L23" s="34" t="s">
        <v>23</v>
      </c>
    </row>
    <row r="24" spans="1:12" ht="15.75" customHeight="1" x14ac:dyDescent="0.3">
      <c r="A24" s="78" t="s">
        <v>111</v>
      </c>
      <c r="B24" s="79" t="s">
        <v>112</v>
      </c>
      <c r="C24" s="80" t="s">
        <v>113</v>
      </c>
      <c r="D24" s="76">
        <v>3</v>
      </c>
      <c r="E24" s="28">
        <v>3</v>
      </c>
      <c r="F24" s="28">
        <v>3</v>
      </c>
      <c r="G24" s="29">
        <v>3</v>
      </c>
      <c r="H24" s="46">
        <f t="shared" si="0"/>
        <v>81</v>
      </c>
      <c r="I24" s="31" t="str">
        <f t="shared" si="1"/>
        <v>Moderada</v>
      </c>
      <c r="J24" s="37">
        <f t="shared" si="2"/>
        <v>9</v>
      </c>
      <c r="K24" s="33" t="s">
        <v>114</v>
      </c>
      <c r="L24" s="85" t="s">
        <v>106</v>
      </c>
    </row>
    <row r="25" spans="1:12" ht="15.75" customHeight="1" x14ac:dyDescent="0.3">
      <c r="A25" s="74" t="s">
        <v>115</v>
      </c>
      <c r="B25" s="74" t="s">
        <v>116</v>
      </c>
      <c r="C25" s="83" t="s">
        <v>117</v>
      </c>
      <c r="D25" s="72">
        <v>4</v>
      </c>
      <c r="E25" s="75">
        <v>3</v>
      </c>
      <c r="F25" s="62">
        <v>3</v>
      </c>
      <c r="G25" s="63">
        <v>3</v>
      </c>
      <c r="H25" s="64">
        <f t="shared" si="0"/>
        <v>108</v>
      </c>
      <c r="I25" s="65" t="str">
        <f t="shared" si="1"/>
        <v>Alta</v>
      </c>
      <c r="J25" s="66">
        <f t="shared" si="2"/>
        <v>12</v>
      </c>
      <c r="K25" s="84" t="s">
        <v>118</v>
      </c>
      <c r="L25" s="83" t="s">
        <v>41</v>
      </c>
    </row>
    <row r="26" spans="1:12" ht="15.75" customHeight="1" x14ac:dyDescent="0.3">
      <c r="A26" s="74" t="s">
        <v>119</v>
      </c>
      <c r="B26" s="74" t="s">
        <v>120</v>
      </c>
      <c r="C26" s="83" t="s">
        <v>121</v>
      </c>
      <c r="D26" s="77">
        <v>3</v>
      </c>
      <c r="E26" s="72">
        <v>4</v>
      </c>
      <c r="F26" s="72">
        <v>3</v>
      </c>
      <c r="G26" s="72">
        <v>4</v>
      </c>
      <c r="H26" s="64">
        <f t="shared" si="0"/>
        <v>144</v>
      </c>
      <c r="I26" s="73" t="str">
        <f t="shared" si="1"/>
        <v>Alta</v>
      </c>
      <c r="J26" s="87">
        <f t="shared" si="2"/>
        <v>12</v>
      </c>
      <c r="K26" s="74" t="s">
        <v>122</v>
      </c>
      <c r="L26" s="86" t="s">
        <v>123</v>
      </c>
    </row>
    <row r="27" spans="1:12" ht="15.75" customHeight="1" x14ac:dyDescent="0.3">
      <c r="A27" s="81" t="s">
        <v>124</v>
      </c>
      <c r="B27" s="82" t="s">
        <v>125</v>
      </c>
      <c r="C27" s="88" t="s">
        <v>176</v>
      </c>
      <c r="D27" s="27">
        <v>2</v>
      </c>
      <c r="E27" s="67">
        <v>5</v>
      </c>
      <c r="F27" s="67">
        <v>3</v>
      </c>
      <c r="G27" s="68">
        <v>4</v>
      </c>
      <c r="H27" s="30">
        <f t="shared" si="0"/>
        <v>120</v>
      </c>
      <c r="I27" s="69" t="str">
        <f t="shared" si="1"/>
        <v>Alta</v>
      </c>
      <c r="J27" s="70">
        <f t="shared" si="2"/>
        <v>10</v>
      </c>
      <c r="K27" s="71" t="s">
        <v>126</v>
      </c>
      <c r="L27" s="34" t="s">
        <v>17</v>
      </c>
    </row>
    <row r="28" spans="1:12" ht="15.75" customHeight="1" x14ac:dyDescent="0.3">
      <c r="A28" s="25" t="s">
        <v>127</v>
      </c>
      <c r="B28" s="3" t="s">
        <v>128</v>
      </c>
      <c r="C28" s="26" t="s">
        <v>129</v>
      </c>
      <c r="D28" s="27">
        <v>3</v>
      </c>
      <c r="E28" s="28">
        <v>4</v>
      </c>
      <c r="F28" s="28">
        <v>3</v>
      </c>
      <c r="G28" s="29">
        <v>3</v>
      </c>
      <c r="H28" s="30">
        <f t="shared" si="0"/>
        <v>108</v>
      </c>
      <c r="I28" s="31" t="str">
        <f t="shared" si="1"/>
        <v>Alta</v>
      </c>
      <c r="J28" s="32">
        <f t="shared" si="2"/>
        <v>12</v>
      </c>
      <c r="K28" s="33" t="s">
        <v>130</v>
      </c>
      <c r="L28" s="34" t="s">
        <v>131</v>
      </c>
    </row>
    <row r="29" spans="1:12" ht="15.75" customHeight="1" x14ac:dyDescent="0.3">
      <c r="A29" s="25" t="s">
        <v>132</v>
      </c>
      <c r="B29" s="3" t="s">
        <v>133</v>
      </c>
      <c r="C29" s="26" t="s">
        <v>134</v>
      </c>
      <c r="D29" s="27">
        <v>3</v>
      </c>
      <c r="E29" s="28">
        <v>3</v>
      </c>
      <c r="F29" s="28">
        <v>3</v>
      </c>
      <c r="G29" s="29">
        <v>3</v>
      </c>
      <c r="H29" s="30">
        <f t="shared" si="0"/>
        <v>81</v>
      </c>
      <c r="I29" s="31" t="str">
        <f t="shared" si="1"/>
        <v>Moderada</v>
      </c>
      <c r="J29" s="32">
        <f t="shared" si="2"/>
        <v>9</v>
      </c>
      <c r="K29" s="33" t="s">
        <v>135</v>
      </c>
      <c r="L29" s="34" t="s">
        <v>64</v>
      </c>
    </row>
    <row r="30" spans="1:12" ht="15.75" customHeight="1" x14ac:dyDescent="0.3">
      <c r="A30" s="25" t="s">
        <v>136</v>
      </c>
      <c r="B30" s="3" t="s">
        <v>137</v>
      </c>
      <c r="C30" s="26" t="s">
        <v>138</v>
      </c>
      <c r="D30" s="27">
        <v>4</v>
      </c>
      <c r="E30" s="28">
        <v>3</v>
      </c>
      <c r="F30" s="28">
        <v>3</v>
      </c>
      <c r="G30" s="29">
        <v>3</v>
      </c>
      <c r="H30" s="30">
        <f t="shared" si="0"/>
        <v>108</v>
      </c>
      <c r="I30" s="31" t="str">
        <f t="shared" si="1"/>
        <v>Alta</v>
      </c>
      <c r="J30" s="32">
        <f t="shared" si="2"/>
        <v>12</v>
      </c>
      <c r="K30" s="33" t="s">
        <v>139</v>
      </c>
      <c r="L30" s="34" t="s">
        <v>93</v>
      </c>
    </row>
    <row r="31" spans="1:12" ht="15.75" customHeight="1" x14ac:dyDescent="0.3">
      <c r="A31" s="25" t="s">
        <v>140</v>
      </c>
      <c r="B31" s="3" t="s">
        <v>141</v>
      </c>
      <c r="C31" s="26" t="s">
        <v>142</v>
      </c>
      <c r="D31" s="27">
        <v>2</v>
      </c>
      <c r="E31" s="28">
        <v>5</v>
      </c>
      <c r="F31" s="28">
        <v>4</v>
      </c>
      <c r="G31" s="29">
        <v>4</v>
      </c>
      <c r="H31" s="30">
        <f t="shared" si="0"/>
        <v>160</v>
      </c>
      <c r="I31" s="31" t="str">
        <f t="shared" si="1"/>
        <v>Alta</v>
      </c>
      <c r="J31" s="32">
        <f t="shared" si="2"/>
        <v>10</v>
      </c>
      <c r="K31" s="33" t="s">
        <v>143</v>
      </c>
      <c r="L31" s="34" t="s">
        <v>23</v>
      </c>
    </row>
    <row r="32" spans="1:12" ht="15.75" customHeight="1" x14ac:dyDescent="0.3">
      <c r="A32" s="25" t="s">
        <v>144</v>
      </c>
      <c r="B32" s="3" t="s">
        <v>145</v>
      </c>
      <c r="C32" s="26" t="s">
        <v>146</v>
      </c>
      <c r="D32" s="27">
        <v>3</v>
      </c>
      <c r="E32" s="28">
        <v>3</v>
      </c>
      <c r="F32" s="28">
        <v>2</v>
      </c>
      <c r="G32" s="29">
        <v>3</v>
      </c>
      <c r="H32" s="30">
        <f t="shared" si="0"/>
        <v>54</v>
      </c>
      <c r="I32" s="31" t="str">
        <f t="shared" si="1"/>
        <v>Moderada</v>
      </c>
      <c r="J32" s="32">
        <f t="shared" si="2"/>
        <v>9</v>
      </c>
      <c r="K32" s="33" t="s">
        <v>147</v>
      </c>
      <c r="L32" s="34" t="s">
        <v>93</v>
      </c>
    </row>
    <row r="33" spans="1:12" ht="15.75" customHeight="1" x14ac:dyDescent="0.3">
      <c r="A33" s="25" t="s">
        <v>148</v>
      </c>
      <c r="B33" s="3" t="s">
        <v>149</v>
      </c>
      <c r="C33" s="26" t="s">
        <v>150</v>
      </c>
      <c r="D33" s="27">
        <v>2</v>
      </c>
      <c r="E33" s="28">
        <v>5</v>
      </c>
      <c r="F33" s="28">
        <v>3</v>
      </c>
      <c r="G33" s="29">
        <v>4</v>
      </c>
      <c r="H33" s="30">
        <f t="shared" si="0"/>
        <v>120</v>
      </c>
      <c r="I33" s="31" t="str">
        <f t="shared" si="1"/>
        <v>Alta</v>
      </c>
      <c r="J33" s="32">
        <f t="shared" si="2"/>
        <v>10</v>
      </c>
      <c r="K33" s="33" t="s">
        <v>151</v>
      </c>
      <c r="L33" s="34" t="s">
        <v>123</v>
      </c>
    </row>
    <row r="34" spans="1:12" ht="15.75" customHeight="1" x14ac:dyDescent="0.3">
      <c r="A34" s="25" t="s">
        <v>152</v>
      </c>
      <c r="B34" s="3" t="s">
        <v>153</v>
      </c>
      <c r="C34" s="26" t="s">
        <v>154</v>
      </c>
      <c r="D34" s="27">
        <v>3</v>
      </c>
      <c r="E34" s="28">
        <v>3</v>
      </c>
      <c r="F34" s="28">
        <v>2</v>
      </c>
      <c r="G34" s="29">
        <v>2</v>
      </c>
      <c r="H34" s="30">
        <f t="shared" si="0"/>
        <v>36</v>
      </c>
      <c r="I34" s="31" t="str">
        <f t="shared" si="1"/>
        <v>Baja</v>
      </c>
      <c r="J34" s="32">
        <f t="shared" si="2"/>
        <v>9</v>
      </c>
      <c r="K34" s="33" t="s">
        <v>155</v>
      </c>
      <c r="L34" s="34" t="s">
        <v>156</v>
      </c>
    </row>
    <row r="35" spans="1:12" ht="15.75" customHeight="1" x14ac:dyDescent="0.3">
      <c r="A35" s="25" t="s">
        <v>157</v>
      </c>
      <c r="B35" s="3" t="s">
        <v>158</v>
      </c>
      <c r="C35" s="26" t="s">
        <v>159</v>
      </c>
      <c r="D35" s="27">
        <v>3</v>
      </c>
      <c r="E35" s="28">
        <v>4</v>
      </c>
      <c r="F35" s="28">
        <v>3</v>
      </c>
      <c r="G35" s="29">
        <v>3</v>
      </c>
      <c r="H35" s="30">
        <f t="shared" si="0"/>
        <v>108</v>
      </c>
      <c r="I35" s="31" t="str">
        <f t="shared" si="1"/>
        <v>Alta</v>
      </c>
      <c r="J35" s="32">
        <f t="shared" si="2"/>
        <v>12</v>
      </c>
      <c r="K35" s="33" t="s">
        <v>160</v>
      </c>
      <c r="L35" s="34" t="s">
        <v>93</v>
      </c>
    </row>
    <row r="36" spans="1:12" ht="15.75" customHeight="1" x14ac:dyDescent="0.3"/>
    <row r="37" spans="1:12" ht="15.75" customHeight="1" x14ac:dyDescent="0.3"/>
    <row r="38" spans="1:12" ht="15.75" customHeight="1" x14ac:dyDescent="0.3"/>
    <row r="39" spans="1:12" ht="15.75" customHeight="1" x14ac:dyDescent="0.3"/>
    <row r="40" spans="1:12" ht="15.75" customHeight="1" x14ac:dyDescent="0.3"/>
    <row r="41" spans="1:12" ht="15.75" customHeight="1" x14ac:dyDescent="0.3"/>
    <row r="42" spans="1:12" ht="15.75" customHeight="1" x14ac:dyDescent="0.3"/>
    <row r="43" spans="1:12" ht="15.75" customHeight="1" x14ac:dyDescent="0.3"/>
    <row r="44" spans="1:12" ht="15.75" customHeight="1" x14ac:dyDescent="0.3"/>
    <row r="45" spans="1:12" ht="15.75" customHeight="1" x14ac:dyDescent="0.3"/>
    <row r="46" spans="1:12" ht="15.75" customHeight="1" x14ac:dyDescent="0.3"/>
    <row r="47" spans="1:12" ht="15.75" customHeight="1" x14ac:dyDescent="0.3"/>
    <row r="48" spans="1:1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P1:U1"/>
    <mergeCell ref="Q7:U7"/>
    <mergeCell ref="P2:P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"/>
  <sheetViews>
    <sheetView workbookViewId="0"/>
  </sheetViews>
  <sheetFormatPr baseColWidth="10" defaultColWidth="14.44140625" defaultRowHeight="15" customHeight="1" x14ac:dyDescent="0.3"/>
  <sheetData>
    <row r="1" spans="1:6" ht="24.6" x14ac:dyDescent="0.4">
      <c r="A1" s="55" t="s">
        <v>12</v>
      </c>
      <c r="B1" s="48"/>
      <c r="C1" s="48"/>
      <c r="D1" s="48"/>
      <c r="E1" s="48"/>
      <c r="F1" s="48"/>
    </row>
    <row r="2" spans="1:6" ht="69.75" customHeight="1" x14ac:dyDescent="0.3">
      <c r="A2" s="59" t="s">
        <v>18</v>
      </c>
      <c r="B2" s="5">
        <v>5</v>
      </c>
      <c r="C2" s="5">
        <v>10</v>
      </c>
      <c r="D2" s="8">
        <v>15</v>
      </c>
      <c r="E2" s="10">
        <v>20</v>
      </c>
      <c r="F2" s="10">
        <v>25</v>
      </c>
    </row>
    <row r="3" spans="1:6" ht="73.5" customHeight="1" x14ac:dyDescent="0.3">
      <c r="A3" s="60"/>
      <c r="B3" s="14">
        <v>4</v>
      </c>
      <c r="C3" s="5">
        <v>8</v>
      </c>
      <c r="D3" s="8">
        <v>12</v>
      </c>
      <c r="E3" s="8">
        <v>16</v>
      </c>
      <c r="F3" s="10">
        <v>20</v>
      </c>
    </row>
    <row r="4" spans="1:6" ht="59.25" customHeight="1" x14ac:dyDescent="0.3">
      <c r="A4" s="60"/>
      <c r="B4" s="14">
        <v>3</v>
      </c>
      <c r="C4" s="5">
        <v>6</v>
      </c>
      <c r="D4" s="5">
        <v>9</v>
      </c>
      <c r="E4" s="8">
        <v>12</v>
      </c>
      <c r="F4" s="8">
        <v>15</v>
      </c>
    </row>
    <row r="5" spans="1:6" ht="75.75" customHeight="1" x14ac:dyDescent="0.3">
      <c r="A5" s="60"/>
      <c r="B5" s="14">
        <v>2</v>
      </c>
      <c r="C5" s="14">
        <v>4</v>
      </c>
      <c r="D5" s="5">
        <v>6</v>
      </c>
      <c r="E5" s="5">
        <v>8</v>
      </c>
      <c r="F5" s="5">
        <v>10</v>
      </c>
    </row>
    <row r="6" spans="1:6" ht="90" customHeight="1" x14ac:dyDescent="0.3">
      <c r="A6" s="61"/>
      <c r="B6" s="14">
        <v>1</v>
      </c>
      <c r="C6" s="14">
        <v>2</v>
      </c>
      <c r="D6" s="14">
        <v>3</v>
      </c>
      <c r="E6" s="14">
        <v>4</v>
      </c>
      <c r="F6" s="5">
        <v>5</v>
      </c>
    </row>
    <row r="7" spans="1:6" ht="30" x14ac:dyDescent="0.5">
      <c r="A7" s="19"/>
      <c r="B7" s="56" t="s">
        <v>42</v>
      </c>
      <c r="C7" s="57"/>
      <c r="D7" s="57"/>
      <c r="E7" s="57"/>
      <c r="F7" s="58"/>
    </row>
  </sheetData>
  <mergeCells count="3">
    <mergeCell ref="A1:F1"/>
    <mergeCell ref="B7:F7"/>
    <mergeCell ref="A2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2" customWidth="1"/>
    <col min="2" max="2" width="14" customWidth="1"/>
    <col min="3" max="3" width="40" customWidth="1"/>
    <col min="4" max="26" width="8.6640625" customWidth="1"/>
  </cols>
  <sheetData>
    <row r="1" spans="1:3" ht="14.4" x14ac:dyDescent="0.3">
      <c r="A1" s="2" t="s">
        <v>161</v>
      </c>
      <c r="B1" s="2" t="s">
        <v>162</v>
      </c>
      <c r="C1" s="2" t="s">
        <v>163</v>
      </c>
    </row>
    <row r="2" spans="1:3" ht="14.4" x14ac:dyDescent="0.3">
      <c r="A2" s="3" t="s">
        <v>164</v>
      </c>
      <c r="B2" s="3" t="s">
        <v>165</v>
      </c>
      <c r="C2" s="3" t="s">
        <v>166</v>
      </c>
    </row>
    <row r="3" spans="1:3" ht="14.4" x14ac:dyDescent="0.3">
      <c r="A3" s="3" t="s">
        <v>167</v>
      </c>
      <c r="B3" s="3" t="s">
        <v>168</v>
      </c>
      <c r="C3" s="3" t="s">
        <v>169</v>
      </c>
    </row>
    <row r="4" spans="1:3" ht="14.4" x14ac:dyDescent="0.3">
      <c r="A4" s="3" t="s">
        <v>170</v>
      </c>
      <c r="B4" s="3" t="s">
        <v>171</v>
      </c>
      <c r="C4" s="3" t="s">
        <v>172</v>
      </c>
    </row>
    <row r="5" spans="1:3" ht="14.4" x14ac:dyDescent="0.3">
      <c r="A5" s="3" t="s">
        <v>173</v>
      </c>
      <c r="B5" s="3" t="s">
        <v>174</v>
      </c>
      <c r="C5" s="3" t="s">
        <v>175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de riesgo v2</vt:lpstr>
      <vt:lpstr>Matriz</vt:lpstr>
      <vt:lpstr>Escala NPR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PHILIP GUTIERREZ KURUZ</cp:lastModifiedBy>
  <dcterms:created xsi:type="dcterms:W3CDTF">2026-10-11T01:01:18Z</dcterms:created>
  <dcterms:modified xsi:type="dcterms:W3CDTF">2026-10-17T03:01:09Z</dcterms:modified>
</cp:coreProperties>
</file>