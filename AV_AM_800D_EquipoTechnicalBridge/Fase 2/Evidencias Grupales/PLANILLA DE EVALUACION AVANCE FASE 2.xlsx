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'RELEVANCIA-PUNTAJE'!$A$3</definedName>
    <definedName name="RE_NL">'RELEVANCIA-PUNTAJE'!$E$4</definedName>
    <definedName name="MR_TL">'RELEVANCIA-PUNTAJE'!$B$3</definedName>
    <definedName name="RE_TL">'RELEVANCIA-PUNTAJE'!$B$4</definedName>
    <definedName name="MR_NL">'RELEVANCIA-PUNTAJE'!$E$3</definedName>
    <definedName name="RE_ML">'RELEVANCIA-PUNTAJE'!$D$4</definedName>
    <definedName name="PR_TL">'RELEVANCIA-PUNTAJE'!$B$5</definedName>
    <definedName name="PR">'RELEVANCIA-PUNTAJE'!$A$5</definedName>
    <definedName name="RE">'RELEVANCIA-PUNTAJE'!$A$4</definedName>
    <definedName name="NL">'RELEVANCIA-PUNTAJE'!$E$2</definedName>
    <definedName name="MR_L">'RELEVANCIA-PUNTAJE'!$C$3</definedName>
    <definedName name="MR_CL">'RELEVANCIA-PUNTAJE'!$B$3</definedName>
    <definedName name="TL">'RELEVANCIA-PUNTAJE'!$B$2</definedName>
    <definedName name="PR_ML">'RELEVANCIA-PUNTAJE'!$D$5</definedName>
    <definedName name="MR_ML">'RELEVANCIA-PUNTAJE'!$D$3</definedName>
    <definedName name="ML">'RELEVANCIA-PUNTAJE'!$D$2</definedName>
    <definedName name="PR_NL">'RELEVANCIA-PUNTAJE'!$E$5</definedName>
    <definedName name="CL">'RELEVANCIA-PUNTAJE'!$B$2</definedName>
    <definedName name="L">'RELEVANCIA-PUNTAJE'!$C$2</definedName>
  </definedNames>
  <calcPr/>
</workbook>
</file>

<file path=xl/sharedStrings.xml><?xml version="1.0" encoding="utf-8"?>
<sst xmlns="http://schemas.openxmlformats.org/spreadsheetml/2006/main" count="85" uniqueCount="67">
  <si>
    <t>Puntaje</t>
  </si>
  <si>
    <t>Indicador de Evaluación</t>
  </si>
  <si>
    <t>Nota</t>
  </si>
  <si>
    <t>PUNTOS</t>
  </si>
  <si>
    <t>NOTA</t>
  </si>
  <si>
    <t>Categorías de Respuesta</t>
  </si>
  <si>
    <t>INTEGRANTES</t>
  </si>
  <si>
    <t>GRUPAL</t>
  </si>
  <si>
    <t>CAMPOS SAEZ PEDRO IGNACIO</t>
  </si>
  <si>
    <t>Ponderación del Indicador de Evaluación</t>
  </si>
  <si>
    <r>
      <rPr>
        <rFont val="Calibri"/>
        <b/>
        <color rgb="FFFFFFFF"/>
        <sz val="11.0"/>
      </rPr>
      <t>Completamente Logrado</t>
    </r>
    <r>
      <rPr>
        <rFont val="Calibri"/>
        <b/>
        <color rgb="FFFFFFFF"/>
        <sz val="10.0"/>
      </rPr>
      <t xml:space="preserve">  (100%)</t>
    </r>
  </si>
  <si>
    <t>GUTIERREZ KURUZ MARTIN PHILIP</t>
  </si>
  <si>
    <r>
      <rPr>
        <rFont val="Calibri"/>
        <b/>
        <color rgb="FFFFFFFF"/>
        <sz val="11.0"/>
      </rPr>
      <t>Logrado</t>
    </r>
    <r>
      <rPr>
        <rFont val="Calibri"/>
        <b/>
        <color rgb="FFFFFFFF"/>
        <sz val="10.0"/>
      </rPr>
      <t xml:space="preserve">  (60%)</t>
    </r>
  </si>
  <si>
    <t>HENRIQUEZ GODOY FLAVIO ANTONIO</t>
  </si>
  <si>
    <t xml:space="preserve">Logro incipiente </t>
  </si>
  <si>
    <t>MAINO TELLEZ ESTEBAN ARMANDO</t>
  </si>
  <si>
    <t>No logrado</t>
  </si>
  <si>
    <t>Nivel de Logro</t>
  </si>
  <si>
    <t>NIVELES DE LOGRO Y PUNTAJES</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</si>
  <si>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</si>
  <si>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</si>
  <si>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</si>
  <si>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</si>
  <si>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</si>
  <si>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</si>
  <si>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</si>
  <si>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Aspectos a Evaluar</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</si>
  <si>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</si>
  <si>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</si>
  <si>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</si>
  <si>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</si>
  <si>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</si>
  <si>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</si>
  <si>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Completamente logrado</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</si>
  <si>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</si>
  <si>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</si>
  <si>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</si>
  <si>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</si>
  <si>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</si>
  <si>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</si>
  <si>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Logrado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</si>
  <si>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</si>
  <si>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</si>
  <si>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</si>
  <si>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</si>
  <si>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</si>
  <si>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</si>
  <si>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Logro Incipiente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</si>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</sst>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sz val="11.0"/>
      <color theme="1"/>
      <name val="Calibri"/>
    </font>
    <font>
      <b/>
      <sz val="11.0"/>
      <color rgb="FFFFFFFF"/>
      <name val="Calibri"/>
    </font>
    <font>
      <color theme="1"/>
      <name val="Calibri"/>
      <scheme val="minor"/>
    </font>
    <font>
      <sz val="20.0"/>
      <color rgb="FF000000"/>
      <name val="Calibri"/>
    </font>
    <font>
      <b/>
      <sz val="14.0"/>
      <color rgb="FF000000"/>
      <name val="Calibri"/>
    </font>
    <font>
      <b/>
      <sz val="10.0"/>
      <color rgb="FF000000"/>
      <name val="Calibri"/>
    </font>
    <font>
      <sz val="10.0"/>
      <color rgb="FF000000"/>
      <name val="Calibri"/>
    </font>
    <font>
      <b/>
      <sz val="10.0"/>
      <color rgb="FF3B3838"/>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7">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medium">
        <color rgb="FF7F7F7F"/>
      </left>
      <right style="medium">
        <color rgb="FF7F7F7F"/>
      </right>
      <bottom style="medium">
        <color rgb="FF7F7F7F"/>
      </bottom>
    </border>
    <border>
      <top style="thin">
        <color rgb="FF000000"/>
      </top>
      <bottom style="thin">
        <color rgb="FF000000"/>
      </bottom>
    </border>
    <border>
      <right style="thin">
        <color rgb="FF000000"/>
      </right>
      <top style="thin">
        <color rgb="FF000000"/>
      </top>
      <bottom style="thin">
        <color rgb="FF000000"/>
      </bottom>
    </border>
    <border>
      <right style="medium">
        <color rgb="FF7F7F7F"/>
      </right>
      <bottom style="medium">
        <color rgb="FF7F7F7F"/>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9">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1" fillId="2" fontId="3" numFmtId="0" xfId="0" applyAlignment="1" applyBorder="1" applyFill="1" applyFont="1">
      <alignment horizontal="center" shrinkToFit="0" vertical="center" wrapText="1"/>
    </xf>
    <xf borderId="2" fillId="3" fontId="2" numFmtId="9" xfId="0" applyAlignment="1" applyBorder="1" applyFill="1" applyFont="1" applyNumberFormat="1">
      <alignment horizontal="center" shrinkToFit="0" vertical="center" wrapText="1"/>
    </xf>
    <xf borderId="0" fillId="0" fontId="4" numFmtId="0" xfId="0" applyFont="1"/>
    <xf borderId="3" fillId="2" fontId="3"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5" fillId="0" fontId="5" numFmtId="0" xfId="0" applyBorder="1" applyFont="1"/>
    <xf borderId="0" fillId="0" fontId="6" numFmtId="0" xfId="0" applyAlignment="1" applyFont="1">
      <alignment vertical="bottom"/>
    </xf>
    <xf borderId="2" fillId="3" fontId="2" numFmtId="164" xfId="0" applyAlignment="1" applyBorder="1" applyFill="1" applyFont="1" applyNumberFormat="1">
      <alignment horizontal="center"/>
    </xf>
    <xf borderId="6" fillId="0" fontId="5" numFmtId="0" xfId="0" applyBorder="1" applyFont="1"/>
    <xf borderId="1" fillId="2" fontId="7" numFmtId="0" xfId="0" applyAlignment="1" applyBorder="1" applyFill="1" applyFont="1">
      <alignment horizontal="center" shrinkToFit="0" vertical="center" wrapText="1"/>
    </xf>
    <xf borderId="0" fillId="0" fontId="8" numFmtId="0" xfId="0" applyAlignment="1" applyFont="1">
      <alignment readingOrder="0"/>
    </xf>
    <xf borderId="0" fillId="0" fontId="6" numFmtId="0" xfId="0" applyAlignment="1" applyFont="1">
      <alignment vertical="bottom"/>
    </xf>
    <xf borderId="7" fillId="2" fontId="7" numFmtId="0" xfId="0" applyAlignment="1" applyBorder="1" applyFill="1" applyFont="1">
      <alignment horizontal="center" shrinkToFit="0" vertical="center" wrapText="1"/>
    </xf>
    <xf borderId="7" fillId="2" fontId="3" numFmtId="0" xfId="0" applyAlignment="1" applyBorder="1" applyFill="1" applyFont="1">
      <alignment horizontal="center" shrinkToFit="0" vertical="center" wrapText="1"/>
    </xf>
    <xf borderId="8" fillId="4" fontId="9" numFmtId="0" xfId="0" applyAlignment="1" applyBorder="1" applyFill="1" applyFont="1">
      <alignment horizontal="center" textRotation="255" vertical="center"/>
    </xf>
    <xf borderId="2" fillId="5" fontId="10" numFmtId="0" xfId="0" applyAlignment="1" applyBorder="1" applyFill="1" applyFont="1">
      <alignment horizontal="center" vertical="center"/>
    </xf>
    <xf borderId="8" fillId="5" fontId="11" numFmtId="0" xfId="0" applyAlignment="1" applyBorder="1" applyFill="1" applyFont="1">
      <alignment horizontal="center" vertical="center"/>
    </xf>
    <xf borderId="7" fillId="2" fontId="3" numFmtId="9" xfId="0" applyAlignment="1" applyBorder="1" applyFill="1" applyFont="1" applyNumberFormat="1">
      <alignment horizontal="center" shrinkToFit="0" vertical="center" wrapText="1"/>
    </xf>
    <xf borderId="9" fillId="5" fontId="11" numFmtId="0" xfId="0" applyAlignment="1" applyBorder="1" applyFill="1" applyFont="1">
      <alignment horizontal="center" vertical="center"/>
    </xf>
    <xf borderId="10" fillId="0" fontId="5" numFmtId="0" xfId="0" applyBorder="1" applyFont="1"/>
    <xf borderId="11" fillId="0" fontId="5" numFmtId="0" xfId="0" applyBorder="1" applyFont="1"/>
    <xf borderId="2" fillId="0" fontId="12" numFmtId="0" xfId="0" applyAlignment="1" applyBorder="1" applyFont="1">
      <alignment horizontal="left" shrinkToFit="0" vertical="center" wrapText="1"/>
    </xf>
    <xf borderId="12" fillId="0" fontId="5" numFmtId="0" xfId="0" applyBorder="1" applyFont="1"/>
    <xf borderId="13" fillId="0" fontId="13" numFmtId="0" xfId="0" applyAlignment="1" applyBorder="1" applyFont="1">
      <alignment horizontal="center" shrinkToFit="0" vertical="center" wrapText="1"/>
    </xf>
    <xf borderId="14" fillId="0" fontId="5" numFmtId="0" xfId="0" applyBorder="1" applyFont="1"/>
    <xf borderId="15" fillId="5" fontId="11" numFmtId="0" xfId="0" applyAlignment="1" applyBorder="1" applyFill="1" applyFont="1">
      <alignment horizontal="center" vertical="center"/>
    </xf>
    <xf borderId="16" fillId="0" fontId="5" numFmtId="0" xfId="0" applyBorder="1" applyFont="1"/>
    <xf borderId="17" fillId="0" fontId="13" numFmtId="0" xfId="0" applyAlignment="1" applyBorder="1" applyFont="1">
      <alignment horizontal="center" shrinkToFit="0" vertical="center" wrapText="1"/>
    </xf>
    <xf borderId="2" fillId="0" fontId="14" numFmtId="0" xfId="0" applyAlignment="1" applyBorder="1" applyFont="1">
      <alignment horizontal="left" shrinkToFit="0" vertical="center" wrapText="1"/>
    </xf>
    <xf borderId="13" fillId="0" fontId="11" numFmtId="0" xfId="0" applyAlignment="1" applyBorder="1" applyFont="1">
      <alignment horizontal="center" shrinkToFit="0" vertical="center" wrapText="1"/>
    </xf>
    <xf borderId="2" fillId="0" fontId="15" numFmtId="0" xfId="0" applyAlignment="1" applyBorder="1" applyFont="1">
      <alignment horizontal="left" shrinkToFit="0" vertical="center" wrapText="1"/>
    </xf>
    <xf borderId="17" fillId="0" fontId="11" numFmtId="0" xfId="0" applyAlignment="1" applyBorder="1" applyFont="1">
      <alignment horizontal="center" shrinkToFit="0" vertical="center" wrapText="1"/>
    </xf>
    <xf borderId="12" fillId="0" fontId="12" numFmtId="0" xfId="0" applyAlignment="1" applyBorder="1" applyFont="1">
      <alignment horizontal="left" readingOrder="0" vertical="center"/>
    </xf>
    <xf borderId="2" fillId="0" fontId="12" numFmtId="0" xfId="0" applyAlignment="1" applyBorder="1" applyFont="1">
      <alignment horizontal="center" vertical="center"/>
    </xf>
    <xf borderId="12" fillId="0" fontId="12" numFmtId="0" xfId="0" applyAlignment="1" applyBorder="1" applyFont="1">
      <alignment horizontal="left" vertical="center"/>
    </xf>
    <xf borderId="18" fillId="5" fontId="4" numFmtId="0" xfId="0" applyAlignment="1" applyBorder="1" applyFill="1" applyFont="1">
      <alignment horizontal="left" shrinkToFit="0" vertical="center" wrapText="1"/>
    </xf>
    <xf borderId="19" fillId="5" fontId="4" numFmtId="0" xfId="0" applyAlignment="1" applyBorder="1" applyFill="1" applyFont="1">
      <alignmen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0" fontId="5" numFmtId="0" xfId="0" applyBorder="1" applyFont="1"/>
    <xf borderId="23" fillId="5" fontId="4" numFmtId="0" xfId="0" applyAlignment="1" applyBorder="1" applyFill="1" applyFont="1">
      <alignment shrinkToFit="0" vertical="center" wrapText="1"/>
    </xf>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2" fillId="0" fontId="4" numFmtId="0" xfId="0" applyAlignment="1" applyBorder="1" applyFont="1">
      <alignment horizontal="left" shrinkToFit="0" vertical="center" wrapText="1"/>
    </xf>
    <xf borderId="26" fillId="0" fontId="4" numFmtId="0" xfId="0" applyAlignment="1" applyBorder="1" applyFont="1">
      <alignment horizontal="left" shrinkToFit="0" vertical="center" wrapText="1"/>
    </xf>
    <xf borderId="16" fillId="0" fontId="15" numFmtId="0" xfId="0" applyAlignment="1" applyBorder="1" applyFont="1">
      <alignment horizontal="right" shrinkToFit="0" vertical="center" wrapText="1"/>
    </xf>
    <xf borderId="8" fillId="0" fontId="16" numFmtId="0" xfId="0" applyBorder="1" applyFont="1"/>
    <xf borderId="2" fillId="6" fontId="2" numFmtId="0" xfId="0" applyBorder="1" applyFill="1" applyFont="1"/>
    <xf borderId="9" fillId="0" fontId="15" numFmtId="0" xfId="0" applyAlignment="1" applyBorder="1" applyFont="1">
      <alignment horizontal="right" shrinkToFit="0" vertical="center" wrapText="1"/>
    </xf>
    <xf borderId="2" fillId="0" fontId="16" numFmtId="164" xfId="0" applyBorder="1" applyFont="1" applyNumberFormat="1"/>
    <xf borderId="0" fillId="0" fontId="2" numFmtId="0" xfId="0" applyAlignment="1" applyFont="1">
      <alignment shrinkToFit="0" wrapText="1"/>
    </xf>
    <xf borderId="0" fillId="0" fontId="15" numFmtId="0" xfId="0" applyAlignment="1" applyFont="1">
      <alignment horizontal="right" shrinkToFit="0" vertical="center" wrapText="1"/>
    </xf>
    <xf borderId="0" fillId="0" fontId="16" numFmtId="164" xfId="0" applyFont="1" applyNumberFormat="1"/>
    <xf borderId="0" fillId="0" fontId="15"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1.0</v>
      </c>
    </row>
    <row r="3">
      <c r="B3" s="5" t="s">
        <v>6</v>
      </c>
      <c r="C3" s="7" t="s">
        <v>7</v>
      </c>
    </row>
    <row r="4">
      <c r="A4" s="9">
        <v>1.0</v>
      </c>
      <c r="B4" s="11" t="s">
        <v>8</v>
      </c>
      <c r="C4" s="12">
        <f>EVALUACION2!$C$22</f>
        <v>4.8</v>
      </c>
      <c r="G4" s="2"/>
    </row>
    <row r="5">
      <c r="A5" s="9">
        <v>2.0</v>
      </c>
      <c r="B5" s="11" t="s">
        <v>11</v>
      </c>
      <c r="C5" s="12">
        <f>EVALUACION2!$C$22</f>
        <v>4.8</v>
      </c>
      <c r="G5" s="2"/>
    </row>
    <row r="6">
      <c r="A6" s="9">
        <v>3.0</v>
      </c>
      <c r="B6" s="11" t="s">
        <v>13</v>
      </c>
      <c r="C6" s="12">
        <f>EVALUACION2!$C$22</f>
        <v>4.8</v>
      </c>
      <c r="G6" s="2"/>
    </row>
    <row r="7">
      <c r="A7" s="15">
        <v>4.0</v>
      </c>
      <c r="B7" s="16" t="s">
        <v>15</v>
      </c>
      <c r="C7" s="12">
        <f>EVALUACION2!$C$22</f>
        <v>4.8</v>
      </c>
    </row>
    <row r="11" outlineLevel="1">
      <c r="A11" s="19" t="s">
        <v>7</v>
      </c>
      <c r="B11" s="20"/>
      <c r="C11" s="21" t="s">
        <v>17</v>
      </c>
      <c r="D11" s="23" t="s">
        <v>18</v>
      </c>
      <c r="E11" s="25"/>
      <c r="F11" s="25"/>
      <c r="G11" s="25"/>
      <c r="H11" s="25"/>
      <c r="I11" s="25"/>
      <c r="J11" s="25"/>
      <c r="K11" s="27"/>
    </row>
    <row r="12" outlineLevel="1">
      <c r="A12" s="29"/>
      <c r="B12" s="30" t="s">
        <v>26</v>
      </c>
      <c r="C12" s="31"/>
      <c r="D12" s="23" t="s">
        <v>33</v>
      </c>
      <c r="E12" s="27"/>
      <c r="F12" s="23" t="s">
        <v>40</v>
      </c>
      <c r="G12" s="27"/>
      <c r="H12" s="23" t="s">
        <v>47</v>
      </c>
      <c r="I12" s="27"/>
      <c r="J12" s="23" t="s">
        <v>16</v>
      </c>
      <c r="K12" s="27"/>
    </row>
    <row r="13" outlineLevel="1">
      <c r="A13" s="29"/>
      <c r="B13" s="35" t="str">
        <f>RUBRICA!A4</f>
        <v>1. Propone ajustes al Proyecto APT considerando dificultades, facilitadores y retroalimentación. </v>
      </c>
      <c r="C13" s="37" t="s">
        <v>40</v>
      </c>
      <c r="D13" s="38" t="str">
        <f>IF($C13=CL,"X","")</f>
        <v/>
      </c>
      <c r="E13" s="38" t="str">
        <f t="shared" ref="E13:E14" si="1">IF(D13="X",100*0.1,"")</f>
        <v/>
      </c>
      <c r="F13" s="38" t="str">
        <f>IF($C13=L,"X","")</f>
        <v>X</v>
      </c>
      <c r="G13" s="38">
        <f t="shared" ref="G13:G14" si="2">IF(F13="X",60*0.1,"")</f>
        <v>6</v>
      </c>
      <c r="H13" s="38" t="str">
        <f>IF($C13=ML,"X","")</f>
        <v/>
      </c>
      <c r="I13" s="38" t="str">
        <f t="shared" ref="I13:I14" si="3">IF(H13="X",30*0.1,"")</f>
        <v/>
      </c>
      <c r="J13" s="38" t="str">
        <f>IF($C13=NL,"X","")</f>
        <v/>
      </c>
      <c r="K13" s="38" t="str">
        <f t="shared" ref="K13:K20" si="4">IF($J13="X",0,"")</f>
        <v/>
      </c>
    </row>
    <row r="14" ht="26.25" customHeight="1" outlineLevel="1">
      <c r="A14" s="29"/>
      <c r="B14" s="35" t="str">
        <f>RUBRICA!A5</f>
        <v>2. Aplica una metodología que permite el logro de los objetivos propuestos, de acuerdo a los estándares de la disciplina.</v>
      </c>
      <c r="C14" s="39" t="s">
        <v>33</v>
      </c>
      <c r="D14" s="38" t="str">
        <f>IF($C14=CL,"X","")</f>
        <v>X</v>
      </c>
      <c r="E14" s="38">
        <f t="shared" si="1"/>
        <v>10</v>
      </c>
      <c r="F14" s="38" t="str">
        <f>IF($C14=L,"X","")</f>
        <v/>
      </c>
      <c r="G14" s="38" t="str">
        <f t="shared" si="2"/>
        <v/>
      </c>
      <c r="H14" s="38" t="str">
        <f>IF($C14=ML,"X","")</f>
        <v/>
      </c>
      <c r="I14" s="38" t="str">
        <f t="shared" si="3"/>
        <v/>
      </c>
      <c r="J14" s="38" t="str">
        <f>IF($C14=NL,"X","")</f>
        <v/>
      </c>
      <c r="K14" s="38" t="str">
        <f t="shared" si="4"/>
        <v/>
      </c>
    </row>
    <row r="15" outlineLevel="1">
      <c r="A15" s="29"/>
      <c r="B15" s="35" t="str">
        <f>RUBRICA!A6</f>
        <v>3. Genera evidencias que dan cuenta del avance del Proyecto APT en relación a documentación, programación y almacenamiento de datos , de acuerdo a lo planificado por el equipo y que cumpla con estándares de desarrollo de la industria</v>
      </c>
      <c r="C15" s="37" t="s">
        <v>40</v>
      </c>
      <c r="D15" s="38" t="str">
        <f>IF($C15=CL,"X","")</f>
        <v/>
      </c>
      <c r="E15" s="38" t="str">
        <f>IF(D15="X",100*0.25,"")</f>
        <v/>
      </c>
      <c r="F15" s="38" t="str">
        <f>IF($C15=L,"X","")</f>
        <v>X</v>
      </c>
      <c r="G15" s="38">
        <f>IF(F15="X",60*0.25,"")</f>
        <v>15</v>
      </c>
      <c r="H15" s="38" t="str">
        <f>IF($C15=ML,"X","")</f>
        <v/>
      </c>
      <c r="I15" s="38" t="str">
        <f>IF(H15="X",30*0.25,"")</f>
        <v/>
      </c>
      <c r="J15" s="38" t="str">
        <f>IF($C15=NL,"X","")</f>
        <v/>
      </c>
      <c r="K15" s="38" t="str">
        <f t="shared" si="4"/>
        <v/>
      </c>
    </row>
    <row r="16" outlineLevel="1">
      <c r="A16" s="29"/>
      <c r="B16" s="35" t="str">
        <f>RUBRICA!A7</f>
        <v>4. Utiliza de manera precisa el lenguaje técnico en los entregables de acuerdo con lo requerido por la disciplina.</v>
      </c>
      <c r="C16" s="37" t="s">
        <v>40</v>
      </c>
      <c r="D16" s="38" t="str">
        <f>IF($C16=CL,"X","")</f>
        <v/>
      </c>
      <c r="E16" s="38" t="str">
        <f t="shared" ref="E16:E17" si="5">IF(D16="X",100*0.05,"")</f>
        <v/>
      </c>
      <c r="F16" s="38" t="str">
        <f>IF($C16=L,"X","")</f>
        <v>X</v>
      </c>
      <c r="G16" s="38">
        <f t="shared" ref="G16:G17" si="6">IF(F16="X",60*0.05,"")</f>
        <v>3</v>
      </c>
      <c r="H16" s="38" t="str">
        <f>IF($C16=ML,"X","")</f>
        <v/>
      </c>
      <c r="I16" s="38" t="str">
        <f t="shared" ref="I16:I17" si="7">IF(H16="X",30*0.05,"")</f>
        <v/>
      </c>
      <c r="J16" s="38" t="str">
        <f>IF($C16=NL,"X","")</f>
        <v/>
      </c>
      <c r="K16" s="38" t="str">
        <f t="shared" si="4"/>
        <v/>
      </c>
    </row>
    <row r="17" outlineLevel="1">
      <c r="A17" s="29"/>
      <c r="B17" s="35" t="str">
        <f>RUBRICA!A8</f>
        <v>5. Utiliza reglas de redacción, ortografía (literal, puntual, acentual) y las normas para citas y referencias. </v>
      </c>
      <c r="C17" s="37" t="s">
        <v>40</v>
      </c>
      <c r="D17" s="38" t="str">
        <f>IF($C17=CL,"X","")</f>
        <v/>
      </c>
      <c r="E17" s="38" t="str">
        <f t="shared" si="5"/>
        <v/>
      </c>
      <c r="F17" s="38" t="str">
        <f>IF($C17=L,"X","")</f>
        <v>X</v>
      </c>
      <c r="G17" s="38">
        <f t="shared" si="6"/>
        <v>3</v>
      </c>
      <c r="H17" s="38" t="str">
        <f>IF($C17=ML,"X","")</f>
        <v/>
      </c>
      <c r="I17" s="38" t="str">
        <f t="shared" si="7"/>
        <v/>
      </c>
      <c r="J17" s="38" t="str">
        <f>IF($C17=NL,"X","")</f>
        <v/>
      </c>
      <c r="K17" s="38" t="str">
        <f t="shared" si="4"/>
        <v/>
      </c>
    </row>
    <row r="18" outlineLevel="1">
      <c r="A18" s="29"/>
      <c r="B18" s="35" t="str">
        <f>RUBRICA!A9</f>
        <v>6. Entrega la documentación y evidencias requerida por la asignatura de acuerdo a la estrucutra y nombres solicitados, guardando todas las evidencias de avances en Git</v>
      </c>
      <c r="C18" s="37" t="s">
        <v>40</v>
      </c>
      <c r="D18" s="38" t="str">
        <f>IF($C18=CL,"X","")</f>
        <v/>
      </c>
      <c r="E18" s="38" t="str">
        <f>IF(D18="X",100*0.2,"")</f>
        <v/>
      </c>
      <c r="F18" s="38" t="str">
        <f>IF($C18=L,"X","")</f>
        <v>X</v>
      </c>
      <c r="G18" s="38">
        <f>IF(F18="X",60*0.2,"")</f>
        <v>12</v>
      </c>
      <c r="H18" s="38" t="str">
        <f>IF($C18=ML,"X","")</f>
        <v/>
      </c>
      <c r="I18" s="38" t="str">
        <f>IF(H18="X",30*0.2,"")</f>
        <v/>
      </c>
      <c r="J18" s="38" t="str">
        <f>IF($C18=NL,"X","")</f>
        <v/>
      </c>
      <c r="K18" s="38" t="str">
        <f t="shared" si="4"/>
        <v/>
      </c>
    </row>
    <row r="19" outlineLevel="1">
      <c r="A19" s="29"/>
      <c r="B19" s="35" t="str">
        <f>RUBRICA!A10</f>
        <v>7.- Generan evidencias claras dentro del repositorio  del aporte de cada uno de los integrantes del equipo que permitan identificar la equidad en el trabajo y la participación de cada estudiante.</v>
      </c>
      <c r="C19" s="39" t="s">
        <v>33</v>
      </c>
      <c r="D19" s="38" t="str">
        <f>IF($C19=CL,"X","")</f>
        <v>X</v>
      </c>
      <c r="E19" s="38">
        <f>IF(D19="X",100*0.15,"")</f>
        <v>15</v>
      </c>
      <c r="F19" s="38" t="str">
        <f>IF($C19=L,"X","")</f>
        <v/>
      </c>
      <c r="G19" s="38" t="str">
        <f>IF(F19="X",60*0.15,"")</f>
        <v/>
      </c>
      <c r="H19" s="38" t="str">
        <f>IF($C19=ML,"X","")</f>
        <v/>
      </c>
      <c r="I19" s="38" t="str">
        <f>IF(H19="X",30*0.15,"")</f>
        <v/>
      </c>
      <c r="J19" s="38" t="str">
        <f>IF($C19=NL,"X","")</f>
        <v/>
      </c>
      <c r="K19" s="38" t="str">
        <f t="shared" si="4"/>
        <v/>
      </c>
    </row>
    <row r="20" outlineLevel="1">
      <c r="A20" s="29"/>
      <c r="B20" s="35" t="str">
        <f>RUBRICA!A11</f>
        <v>8. Demuestra un trabajo en equipo en donde todos los miembros del equipo expresan con fluidez el conocimiento del tema expuesto y  participan de las actividades planificadas en el proyecto</v>
      </c>
      <c r="C20" s="37" t="s">
        <v>40</v>
      </c>
      <c r="D20" s="38" t="str">
        <f>IF($C20=CL,"X","")</f>
        <v/>
      </c>
      <c r="E20" s="38" t="str">
        <f>IF(D20="X",100*0.1,"")</f>
        <v/>
      </c>
      <c r="F20" s="38" t="str">
        <f>IF($C20=L,"X","")</f>
        <v>X</v>
      </c>
      <c r="G20" s="38">
        <f>IF(F20="X",60*0.1,"")</f>
        <v>6</v>
      </c>
      <c r="H20" s="38" t="str">
        <f>IF($C20=ML,"X","")</f>
        <v/>
      </c>
      <c r="I20" s="38" t="str">
        <f>IF(H20="X",30*0.1,"")</f>
        <v/>
      </c>
      <c r="J20" s="38" t="str">
        <f>IF($C20=NL,"X","")</f>
        <v/>
      </c>
      <c r="K20" s="38" t="str">
        <f t="shared" si="4"/>
        <v/>
      </c>
    </row>
    <row r="21" ht="15.75" customHeight="1" outlineLevel="1">
      <c r="A21" s="29"/>
      <c r="B21" s="50" t="s">
        <v>0</v>
      </c>
      <c r="C21" s="51">
        <f>E21+G21+I21+K21</f>
        <v>70</v>
      </c>
      <c r="D21" s="52"/>
      <c r="E21" s="52">
        <f>SUM(E13:E20)</f>
        <v>25</v>
      </c>
      <c r="F21" s="52"/>
      <c r="G21" s="52">
        <f>SUM(G13:G20)</f>
        <v>45</v>
      </c>
      <c r="H21" s="52"/>
      <c r="I21" s="52">
        <f>SUM(I13:I20)</f>
        <v>0</v>
      </c>
      <c r="J21" s="52"/>
      <c r="K21" s="52">
        <f>SUM(K13:K20)</f>
        <v>0</v>
      </c>
    </row>
    <row r="22" ht="15.75" customHeight="1" outlineLevel="1">
      <c r="A22" s="31"/>
      <c r="B22" s="53" t="s">
        <v>2</v>
      </c>
      <c r="C22" s="54">
        <f>VLOOKUP(C21,ESCALA_IEP!A2:B202,2,FALSE)</f>
        <v>4.8</v>
      </c>
    </row>
    <row r="23" ht="15.75" customHeight="1">
      <c r="D23" s="1" t="s">
        <v>66</v>
      </c>
    </row>
    <row r="24" ht="48.0" customHeight="1">
      <c r="B24" s="55"/>
    </row>
    <row r="25" ht="15.75" customHeight="1">
      <c r="B25" s="56"/>
      <c r="C25" s="57"/>
    </row>
    <row r="26" ht="30.75" customHeight="1">
      <c r="B26" s="58"/>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7">
    <cfRule type="cellIs" dxfId="0" priority="1" operator="lessThan">
      <formula>4</formula>
    </cfRule>
  </conditionalFormatting>
  <conditionalFormatting sqref="C4:C7">
    <cfRule type="cellIs" dxfId="0" priority="2" operator="lessThan">
      <formula>1</formula>
    </cfRule>
  </conditionalFormatting>
  <dataValidations>
    <dataValidation type="decimal" allowBlank="1" showInputMessage="1" showErrorMessage="1" prompt="Error de Ingreso - Nota debe estar entre 1,0 y 7,0" sqref="C4:C7">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s>
  <sheetData>
    <row r="1" ht="14.25" customHeight="1">
      <c r="A1" s="3" t="s">
        <v>1</v>
      </c>
      <c r="B1" s="6" t="s">
        <v>5</v>
      </c>
      <c r="C1" s="8"/>
      <c r="D1" s="8"/>
      <c r="E1" s="10"/>
      <c r="F1" s="3" t="s">
        <v>9</v>
      </c>
    </row>
    <row r="2" ht="14.25" customHeight="1">
      <c r="A2" s="13"/>
      <c r="B2" s="14" t="s">
        <v>10</v>
      </c>
      <c r="C2" s="14" t="s">
        <v>12</v>
      </c>
      <c r="D2" s="17" t="s">
        <v>14</v>
      </c>
      <c r="E2" s="18" t="s">
        <v>16</v>
      </c>
      <c r="F2" s="13"/>
    </row>
    <row r="3" ht="14.25" customHeight="1">
      <c r="A3" s="13"/>
      <c r="B3" s="13"/>
      <c r="C3" s="13"/>
      <c r="D3" s="22">
        <v>-0.3</v>
      </c>
      <c r="E3" s="22">
        <v>0.0</v>
      </c>
      <c r="F3" s="24"/>
    </row>
    <row r="4" ht="14.25" customHeight="1">
      <c r="A4" s="26" t="s">
        <v>19</v>
      </c>
      <c r="B4" s="26" t="s">
        <v>20</v>
      </c>
      <c r="C4" s="26" t="s">
        <v>21</v>
      </c>
      <c r="D4" s="26" t="s">
        <v>22</v>
      </c>
      <c r="E4" s="26" t="s">
        <v>23</v>
      </c>
      <c r="F4" s="28">
        <v>10.0</v>
      </c>
    </row>
    <row r="5" ht="14.25" customHeight="1">
      <c r="A5" s="26" t="s">
        <v>24</v>
      </c>
      <c r="B5" s="26" t="s">
        <v>25</v>
      </c>
      <c r="C5" s="26" t="s">
        <v>27</v>
      </c>
      <c r="D5" s="26" t="s">
        <v>28</v>
      </c>
      <c r="E5" s="26" t="s">
        <v>29</v>
      </c>
      <c r="F5" s="28">
        <v>10.0</v>
      </c>
    </row>
    <row r="6" ht="14.25" customHeight="1">
      <c r="A6" s="26" t="s">
        <v>30</v>
      </c>
      <c r="B6" s="26" t="s">
        <v>31</v>
      </c>
      <c r="C6" s="26" t="s">
        <v>32</v>
      </c>
      <c r="D6" s="26" t="s">
        <v>34</v>
      </c>
      <c r="E6" s="26" t="s">
        <v>35</v>
      </c>
      <c r="F6" s="28">
        <v>25.0</v>
      </c>
    </row>
    <row r="7" ht="14.25" customHeight="1">
      <c r="A7" s="26" t="s">
        <v>36</v>
      </c>
      <c r="B7" s="26" t="s">
        <v>37</v>
      </c>
      <c r="C7" s="26" t="s">
        <v>38</v>
      </c>
      <c r="D7" s="26" t="s">
        <v>39</v>
      </c>
      <c r="E7" s="26" t="s">
        <v>41</v>
      </c>
      <c r="F7" s="28">
        <v>5.0</v>
      </c>
    </row>
    <row r="8" ht="14.25" customHeight="1">
      <c r="A8" s="26" t="s">
        <v>42</v>
      </c>
      <c r="B8" s="26" t="s">
        <v>43</v>
      </c>
      <c r="C8" s="26" t="s">
        <v>44</v>
      </c>
      <c r="D8" s="26" t="s">
        <v>45</v>
      </c>
      <c r="E8" s="26" t="s">
        <v>46</v>
      </c>
      <c r="F8" s="32">
        <v>5.0</v>
      </c>
    </row>
    <row r="9" ht="14.25" customHeight="1">
      <c r="A9" s="26" t="s">
        <v>48</v>
      </c>
      <c r="B9" s="26" t="s">
        <v>49</v>
      </c>
      <c r="C9" s="26" t="s">
        <v>50</v>
      </c>
      <c r="D9" s="26" t="s">
        <v>51</v>
      </c>
      <c r="E9" s="26" t="s">
        <v>52</v>
      </c>
      <c r="F9" s="28">
        <v>20.0</v>
      </c>
    </row>
    <row r="10" ht="14.25" customHeight="1">
      <c r="A10" s="33" t="s">
        <v>53</v>
      </c>
      <c r="B10" s="33" t="s">
        <v>54</v>
      </c>
      <c r="C10" s="33" t="s">
        <v>55</v>
      </c>
      <c r="D10" s="33" t="s">
        <v>56</v>
      </c>
      <c r="E10" s="33" t="s">
        <v>57</v>
      </c>
      <c r="F10" s="34">
        <v>15.0</v>
      </c>
    </row>
    <row r="11" ht="81.0" customHeight="1">
      <c r="A11" s="26" t="s">
        <v>58</v>
      </c>
      <c r="B11" s="26" t="s">
        <v>59</v>
      </c>
      <c r="C11" s="26" t="s">
        <v>60</v>
      </c>
      <c r="D11" s="26" t="s">
        <v>61</v>
      </c>
      <c r="E11" s="26" t="s">
        <v>62</v>
      </c>
      <c r="F11" s="3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2">
        <v>1.0</v>
      </c>
    </row>
    <row r="3">
      <c r="A3" s="1">
        <v>1.0</v>
      </c>
      <c r="B3" s="2">
        <v>1.1</v>
      </c>
    </row>
    <row r="4">
      <c r="A4" s="1">
        <v>2.0</v>
      </c>
      <c r="B4" s="2">
        <v>1.2</v>
      </c>
    </row>
    <row r="5">
      <c r="A5" s="1">
        <v>3.0</v>
      </c>
      <c r="B5" s="2">
        <v>1.3</v>
      </c>
    </row>
    <row r="6">
      <c r="A6" s="1">
        <v>4.0</v>
      </c>
      <c r="B6" s="2">
        <v>1.4</v>
      </c>
    </row>
    <row r="7">
      <c r="A7" s="1">
        <v>5.0</v>
      </c>
      <c r="B7" s="2">
        <v>1.5</v>
      </c>
    </row>
    <row r="8">
      <c r="A8" s="1">
        <v>6.0</v>
      </c>
      <c r="B8" s="2">
        <v>1.6</v>
      </c>
    </row>
    <row r="9">
      <c r="A9" s="1">
        <v>7.0</v>
      </c>
      <c r="B9" s="2">
        <v>1.7</v>
      </c>
    </row>
    <row r="10">
      <c r="A10" s="1">
        <v>8.0</v>
      </c>
      <c r="B10" s="2">
        <v>1.8</v>
      </c>
    </row>
    <row r="11">
      <c r="A11" s="1">
        <v>9.0</v>
      </c>
      <c r="B11" s="2">
        <v>1.9</v>
      </c>
    </row>
    <row r="12">
      <c r="A12" s="1">
        <v>10.0</v>
      </c>
      <c r="B12" s="2">
        <v>2.0</v>
      </c>
    </row>
    <row r="13">
      <c r="A13" s="1">
        <v>11.0</v>
      </c>
      <c r="B13" s="2">
        <v>2.1</v>
      </c>
    </row>
    <row r="14">
      <c r="A14" s="1">
        <v>12.0</v>
      </c>
      <c r="B14" s="2">
        <v>2.2</v>
      </c>
    </row>
    <row r="15">
      <c r="A15" s="1">
        <v>13.0</v>
      </c>
      <c r="B15" s="2">
        <v>2.3</v>
      </c>
    </row>
    <row r="16">
      <c r="A16" s="1">
        <v>14.0</v>
      </c>
      <c r="B16" s="2">
        <v>2.3</v>
      </c>
    </row>
    <row r="17">
      <c r="A17" s="1">
        <v>15.0</v>
      </c>
      <c r="B17" s="2">
        <v>2.4</v>
      </c>
    </row>
    <row r="18">
      <c r="A18" s="1">
        <v>16.0</v>
      </c>
      <c r="B18" s="2">
        <v>2.5</v>
      </c>
    </row>
    <row r="19">
      <c r="A19" s="1">
        <v>17.0</v>
      </c>
      <c r="B19" s="2">
        <v>2.6</v>
      </c>
    </row>
    <row r="20">
      <c r="A20" s="1">
        <v>18.0</v>
      </c>
      <c r="B20" s="2">
        <v>2.7</v>
      </c>
    </row>
    <row r="21" ht="15.75" customHeight="1">
      <c r="A21" s="1">
        <v>19.0</v>
      </c>
      <c r="B21" s="2">
        <v>2.8</v>
      </c>
    </row>
    <row r="22" ht="15.75" customHeight="1">
      <c r="A22" s="1">
        <v>20.0</v>
      </c>
      <c r="B22" s="2">
        <v>2.9</v>
      </c>
    </row>
    <row r="23" ht="15.75" customHeight="1">
      <c r="A23" s="1">
        <v>21.0</v>
      </c>
      <c r="B23" s="2">
        <v>3.0</v>
      </c>
    </row>
    <row r="24" ht="15.75" customHeight="1">
      <c r="A24" s="1">
        <v>22.0</v>
      </c>
      <c r="B24" s="2">
        <v>3.1</v>
      </c>
    </row>
    <row r="25" ht="15.75" customHeight="1">
      <c r="A25" s="1">
        <v>23.0</v>
      </c>
      <c r="B25" s="2">
        <v>3.2</v>
      </c>
    </row>
    <row r="26" ht="15.75" customHeight="1">
      <c r="A26" s="1">
        <v>24.0</v>
      </c>
      <c r="B26" s="2">
        <v>3.3</v>
      </c>
    </row>
    <row r="27" ht="15.75" customHeight="1">
      <c r="A27" s="1">
        <v>25.0</v>
      </c>
      <c r="B27" s="2">
        <v>3.4</v>
      </c>
    </row>
    <row r="28" ht="15.75" customHeight="1">
      <c r="A28" s="1">
        <v>26.0</v>
      </c>
      <c r="B28" s="2">
        <v>3.5</v>
      </c>
    </row>
    <row r="29" ht="15.75" customHeight="1">
      <c r="A29" s="1">
        <v>27.0</v>
      </c>
      <c r="B29" s="2">
        <v>3.6</v>
      </c>
    </row>
    <row r="30" ht="15.75" customHeight="1">
      <c r="A30" s="1">
        <v>28.0</v>
      </c>
      <c r="B30" s="2">
        <v>3.7</v>
      </c>
    </row>
    <row r="31" ht="15.75" customHeight="1">
      <c r="A31" s="1">
        <v>29.0</v>
      </c>
      <c r="B31" s="2">
        <v>3.8</v>
      </c>
    </row>
    <row r="32" ht="15.75" customHeight="1">
      <c r="A32" s="1">
        <v>30.0</v>
      </c>
      <c r="B32" s="2">
        <v>3.9</v>
      </c>
    </row>
    <row r="33" ht="15.75" customHeight="1">
      <c r="A33" s="1">
        <v>31.0</v>
      </c>
      <c r="B33" s="2">
        <v>4.0</v>
      </c>
    </row>
    <row r="34" ht="15.75" customHeight="1">
      <c r="A34" s="1">
        <v>32.0</v>
      </c>
      <c r="B34" s="2">
        <v>4.1</v>
      </c>
    </row>
    <row r="35" ht="15.75" customHeight="1">
      <c r="A35" s="1">
        <v>33.0</v>
      </c>
      <c r="B35" s="2">
        <v>4.3</v>
      </c>
    </row>
    <row r="36" ht="15.75" customHeight="1">
      <c r="A36" s="1">
        <v>34.0</v>
      </c>
      <c r="B36" s="2">
        <v>4.4</v>
      </c>
    </row>
    <row r="37" ht="15.75" customHeight="1">
      <c r="A37" s="1">
        <v>35.0</v>
      </c>
      <c r="B37" s="2">
        <v>4.5</v>
      </c>
    </row>
    <row r="38" ht="15.75" customHeight="1">
      <c r="A38" s="1">
        <v>36.0</v>
      </c>
      <c r="B38" s="2">
        <v>4.7</v>
      </c>
    </row>
    <row r="39" ht="15.75" customHeight="1">
      <c r="A39" s="1">
        <v>37.0</v>
      </c>
      <c r="B39" s="2">
        <v>4.8</v>
      </c>
    </row>
    <row r="40" ht="15.75" customHeight="1">
      <c r="A40" s="1">
        <v>38.0</v>
      </c>
      <c r="B40" s="2">
        <v>5.0</v>
      </c>
    </row>
    <row r="41" ht="15.75" customHeight="1">
      <c r="A41" s="1">
        <v>39.0</v>
      </c>
      <c r="B41" s="2">
        <v>5.1</v>
      </c>
    </row>
    <row r="42" ht="15.75" customHeight="1">
      <c r="A42" s="1">
        <v>40.0</v>
      </c>
      <c r="B42" s="2">
        <v>5.3</v>
      </c>
    </row>
    <row r="43" ht="15.75" customHeight="1">
      <c r="A43" s="1">
        <v>41.0</v>
      </c>
      <c r="B43" s="2">
        <v>5.4</v>
      </c>
    </row>
    <row r="44" ht="15.75" customHeight="1">
      <c r="A44" s="1">
        <v>42.0</v>
      </c>
      <c r="B44" s="2">
        <v>5.6</v>
      </c>
    </row>
    <row r="45" ht="15.75" customHeight="1">
      <c r="A45" s="1">
        <v>43.0</v>
      </c>
      <c r="B45" s="2">
        <v>5.7</v>
      </c>
    </row>
    <row r="46" ht="15.75" customHeight="1">
      <c r="A46" s="1">
        <v>44.0</v>
      </c>
      <c r="B46" s="2">
        <v>5.8</v>
      </c>
    </row>
    <row r="47" ht="15.75" customHeight="1">
      <c r="A47" s="1">
        <v>45.0</v>
      </c>
      <c r="B47" s="2">
        <v>6.0</v>
      </c>
    </row>
    <row r="48" ht="15.75" customHeight="1">
      <c r="A48" s="1">
        <v>46.0</v>
      </c>
      <c r="B48" s="2">
        <v>6.1</v>
      </c>
    </row>
    <row r="49" ht="15.75" customHeight="1">
      <c r="A49" s="1">
        <v>47.0</v>
      </c>
      <c r="B49" s="2">
        <v>6.3</v>
      </c>
    </row>
    <row r="50" ht="15.75" customHeight="1">
      <c r="A50" s="1">
        <v>48.0</v>
      </c>
      <c r="B50" s="2">
        <v>6.4</v>
      </c>
    </row>
    <row r="51" ht="15.75" customHeight="1">
      <c r="A51" s="1">
        <v>49.0</v>
      </c>
      <c r="B51" s="2">
        <v>6.6</v>
      </c>
    </row>
    <row r="52" ht="15.75" customHeight="1">
      <c r="A52" s="1">
        <v>50.0</v>
      </c>
      <c r="B52" s="2">
        <v>6.7</v>
      </c>
    </row>
    <row r="53" ht="15.75" customHeight="1">
      <c r="A53" s="1">
        <v>51.0</v>
      </c>
      <c r="B53" s="2">
        <v>6.9</v>
      </c>
    </row>
    <row r="54" ht="15.75" customHeight="1">
      <c r="A54" s="1">
        <v>52.0</v>
      </c>
      <c r="B54" s="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2"/>
    </row>
    <row r="54" ht="15.75" customHeight="1">
      <c r="B54" s="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0" t="s">
        <v>63</v>
      </c>
      <c r="B1" s="41" t="s">
        <v>0</v>
      </c>
      <c r="C1" s="42"/>
      <c r="D1" s="42"/>
      <c r="E1" s="43"/>
    </row>
    <row r="2">
      <c r="A2" s="44"/>
      <c r="B2" s="45" t="s">
        <v>33</v>
      </c>
      <c r="C2" s="46" t="s">
        <v>40</v>
      </c>
      <c r="D2" s="46" t="s">
        <v>64</v>
      </c>
      <c r="E2" s="47" t="s">
        <v>16</v>
      </c>
    </row>
    <row r="3">
      <c r="A3" s="48" t="s">
        <v>65</v>
      </c>
      <c r="B3" s="49">
        <v>4.0</v>
      </c>
      <c r="C3" s="49">
        <v>3.0</v>
      </c>
      <c r="D3" s="49">
        <v>2.0</v>
      </c>
      <c r="E3" s="49">
        <v>0.0</v>
      </c>
    </row>
    <row r="4">
      <c r="A4" s="48"/>
      <c r="B4" s="49"/>
      <c r="C4" s="49"/>
      <c r="D4" s="49"/>
      <c r="E4" s="49"/>
    </row>
    <row r="5">
      <c r="A5" s="48"/>
      <c r="B5" s="49"/>
      <c r="C5" s="49"/>
      <c r="D5" s="49"/>
      <c r="E5" s="4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